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i\Documents\GitHub\corta-mato-17-jan-2025\"/>
    </mc:Choice>
  </mc:AlternateContent>
  <xr:revisionPtr revIDLastSave="0" documentId="13_ncr:1_{20D8EC70-3B1A-4D0C-90E9-7B498A57099F}" xr6:coauthVersionLast="47" xr6:coauthVersionMax="47" xr10:uidLastSave="{00000000-0000-0000-0000-000000000000}"/>
  <bookViews>
    <workbookView xWindow="-28920" yWindow="-120" windowWidth="29040" windowHeight="15840" activeTab="5" xr2:uid="{EB0A0A3C-C8D0-4E26-9596-AC1211A99BC3}"/>
  </bookViews>
  <sheets>
    <sheet name="Dashboard" sheetId="1" r:id="rId1"/>
    <sheet name="Atletas" sheetId="2" r:id="rId2"/>
    <sheet name="Resultados" sheetId="16" r:id="rId3"/>
    <sheet name="Escaloes" sheetId="12" r:id="rId4"/>
    <sheet name="Escolas" sheetId="13" r:id="rId5"/>
    <sheet name="Benjamin F" sheetId="15" r:id="rId6"/>
    <sheet name="Benjamin M" sheetId="17" r:id="rId7"/>
    <sheet name="Juv M" sheetId="18" r:id="rId8"/>
  </sheets>
  <functionGroups builtInGroupCount="19"/>
  <definedNames>
    <definedName name="_xlnm._FilterDatabase" localSheetId="1" hidden="1">Atletas!$A$1:$D$32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3" l="1"/>
  <c r="D3" i="13"/>
  <c r="E3" i="13"/>
  <c r="F3" i="13"/>
  <c r="G3" i="13"/>
  <c r="H3" i="13"/>
  <c r="I3" i="13"/>
  <c r="J3" i="13"/>
  <c r="K3" i="13"/>
  <c r="L3" i="13"/>
  <c r="M3" i="13"/>
  <c r="N3" i="13"/>
  <c r="C4" i="13"/>
  <c r="D4" i="13"/>
  <c r="E4" i="13"/>
  <c r="F4" i="13"/>
  <c r="G4" i="13"/>
  <c r="H4" i="13"/>
  <c r="I4" i="13"/>
  <c r="J4" i="13"/>
  <c r="K4" i="13"/>
  <c r="L4" i="13"/>
  <c r="M4" i="13"/>
  <c r="N4" i="13"/>
  <c r="C5" i="13"/>
  <c r="D5" i="13"/>
  <c r="E5" i="13"/>
  <c r="F5" i="13"/>
  <c r="G5" i="13"/>
  <c r="H5" i="13"/>
  <c r="I5" i="13"/>
  <c r="J5" i="13"/>
  <c r="K5" i="13"/>
  <c r="L5" i="13"/>
  <c r="M5" i="13"/>
  <c r="N5" i="13"/>
  <c r="D2" i="13"/>
  <c r="E2" i="13"/>
  <c r="F2" i="13"/>
  <c r="G2" i="13"/>
  <c r="H2" i="13"/>
  <c r="I2" i="13"/>
  <c r="J2" i="13"/>
  <c r="K2" i="13"/>
  <c r="L2" i="13"/>
  <c r="M2" i="13"/>
  <c r="N2" i="13"/>
  <c r="C2" i="13"/>
  <c r="B3" i="13"/>
  <c r="B4" i="13"/>
  <c r="B5" i="13"/>
  <c r="B2" i="13"/>
  <c r="B3" i="12"/>
  <c r="B4" i="12"/>
  <c r="B5" i="12"/>
  <c r="B6" i="12"/>
  <c r="B7" i="12"/>
  <c r="B8" i="12"/>
  <c r="B9" i="12"/>
  <c r="B10" i="12"/>
  <c r="B11" i="12"/>
  <c r="B12" i="12"/>
  <c r="B13" i="12"/>
  <c r="B2" i="12"/>
  <c r="E140" i="18"/>
  <c r="D140" i="18"/>
  <c r="C140" i="18"/>
  <c r="E139" i="18"/>
  <c r="D139" i="18"/>
  <c r="C139" i="18"/>
  <c r="E138" i="18"/>
  <c r="D138" i="18"/>
  <c r="C138" i="18"/>
  <c r="E137" i="18"/>
  <c r="D137" i="18"/>
  <c r="C137" i="18"/>
  <c r="E136" i="18"/>
  <c r="D136" i="18"/>
  <c r="C136" i="18"/>
  <c r="E135" i="18"/>
  <c r="D135" i="18"/>
  <c r="C135" i="18"/>
  <c r="E134" i="18"/>
  <c r="D134" i="18"/>
  <c r="C134" i="18"/>
  <c r="E133" i="18"/>
  <c r="D133" i="18"/>
  <c r="C133" i="18"/>
  <c r="E132" i="18"/>
  <c r="D132" i="18"/>
  <c r="C132" i="18"/>
  <c r="E131" i="18"/>
  <c r="D131" i="18"/>
  <c r="C131" i="18"/>
  <c r="E130" i="18"/>
  <c r="D130" i="18"/>
  <c r="C130" i="18"/>
  <c r="E129" i="18"/>
  <c r="D129" i="18"/>
  <c r="C129" i="18"/>
  <c r="E128" i="18"/>
  <c r="D128" i="18"/>
  <c r="C128" i="18"/>
  <c r="E127" i="18"/>
  <c r="D127" i="18"/>
  <c r="C127" i="18"/>
  <c r="E126" i="18"/>
  <c r="D126" i="18"/>
  <c r="C126" i="18"/>
  <c r="E125" i="18"/>
  <c r="D125" i="18"/>
  <c r="C125" i="18"/>
  <c r="E124" i="18"/>
  <c r="D124" i="18"/>
  <c r="C124" i="18"/>
  <c r="E123" i="18"/>
  <c r="D123" i="18"/>
  <c r="C123" i="18"/>
  <c r="E122" i="18"/>
  <c r="D122" i="18"/>
  <c r="C122" i="18"/>
  <c r="E121" i="18"/>
  <c r="D121" i="18"/>
  <c r="C121" i="18"/>
  <c r="E120" i="18"/>
  <c r="D120" i="18"/>
  <c r="C120" i="18"/>
  <c r="E119" i="18"/>
  <c r="D119" i="18"/>
  <c r="C119" i="18"/>
  <c r="E118" i="18"/>
  <c r="D118" i="18"/>
  <c r="C118" i="18"/>
  <c r="E117" i="18"/>
  <c r="D117" i="18"/>
  <c r="C117" i="18"/>
  <c r="E116" i="18"/>
  <c r="D116" i="18"/>
  <c r="C116" i="18"/>
  <c r="E115" i="18"/>
  <c r="D115" i="18"/>
  <c r="C115" i="18"/>
  <c r="E114" i="18"/>
  <c r="D114" i="18"/>
  <c r="C114" i="18"/>
  <c r="E113" i="18"/>
  <c r="D113" i="18"/>
  <c r="C113" i="18"/>
  <c r="E112" i="18"/>
  <c r="D112" i="18"/>
  <c r="C112" i="18"/>
  <c r="E111" i="18"/>
  <c r="D111" i="18"/>
  <c r="C111" i="18"/>
  <c r="E110" i="18"/>
  <c r="D110" i="18"/>
  <c r="C110" i="18"/>
  <c r="E109" i="18"/>
  <c r="D109" i="18"/>
  <c r="C109" i="18"/>
  <c r="E108" i="18"/>
  <c r="D108" i="18"/>
  <c r="C108" i="18"/>
  <c r="E107" i="18"/>
  <c r="D107" i="18"/>
  <c r="C107" i="18"/>
  <c r="E106" i="18"/>
  <c r="D106" i="18"/>
  <c r="C106" i="18"/>
  <c r="E105" i="18"/>
  <c r="D105" i="18"/>
  <c r="C105" i="18"/>
  <c r="E104" i="18"/>
  <c r="D104" i="18"/>
  <c r="C104" i="18"/>
  <c r="E103" i="18"/>
  <c r="D103" i="18"/>
  <c r="C103" i="18"/>
  <c r="E102" i="18"/>
  <c r="D102" i="18"/>
  <c r="C102" i="18"/>
  <c r="E101" i="18"/>
  <c r="D101" i="18"/>
  <c r="C101" i="18"/>
  <c r="E100" i="18"/>
  <c r="D100" i="18"/>
  <c r="C100" i="18"/>
  <c r="E99" i="18"/>
  <c r="D99" i="18"/>
  <c r="C99" i="18"/>
  <c r="E98" i="18"/>
  <c r="D98" i="18"/>
  <c r="C98" i="18"/>
  <c r="E97" i="18"/>
  <c r="D97" i="18"/>
  <c r="C97" i="18"/>
  <c r="E96" i="18"/>
  <c r="D96" i="18"/>
  <c r="C96" i="18"/>
  <c r="E95" i="18"/>
  <c r="D95" i="18"/>
  <c r="C95" i="18"/>
  <c r="E94" i="18"/>
  <c r="D94" i="18"/>
  <c r="C94" i="18"/>
  <c r="E93" i="18"/>
  <c r="D93" i="18"/>
  <c r="C93" i="18"/>
  <c r="E92" i="18"/>
  <c r="D92" i="18"/>
  <c r="C92" i="18"/>
  <c r="E91" i="18"/>
  <c r="D91" i="18"/>
  <c r="C91" i="18"/>
  <c r="E90" i="18"/>
  <c r="D90" i="18"/>
  <c r="C90" i="18"/>
  <c r="E89" i="18"/>
  <c r="D89" i="18"/>
  <c r="C89" i="18"/>
  <c r="E88" i="18"/>
  <c r="D88" i="18"/>
  <c r="C88" i="18"/>
  <c r="E87" i="18"/>
  <c r="D87" i="18"/>
  <c r="C87" i="18"/>
  <c r="E86" i="18"/>
  <c r="D86" i="18"/>
  <c r="C86" i="18"/>
  <c r="E85" i="18"/>
  <c r="D85" i="18"/>
  <c r="C85" i="18"/>
  <c r="E84" i="18"/>
  <c r="D84" i="18"/>
  <c r="C84" i="18"/>
  <c r="E83" i="18"/>
  <c r="D83" i="18"/>
  <c r="C83" i="18"/>
  <c r="E82" i="18"/>
  <c r="D82" i="18"/>
  <c r="C82" i="18"/>
  <c r="E81" i="18"/>
  <c r="D81" i="18"/>
  <c r="C81" i="18"/>
  <c r="E80" i="18"/>
  <c r="D80" i="18"/>
  <c r="C80" i="18"/>
  <c r="E79" i="18"/>
  <c r="D79" i="18"/>
  <c r="C79" i="18"/>
  <c r="E78" i="18"/>
  <c r="D78" i="18"/>
  <c r="C78" i="18"/>
  <c r="E77" i="18"/>
  <c r="D77" i="18"/>
  <c r="C77" i="18"/>
  <c r="E76" i="18"/>
  <c r="D76" i="18"/>
  <c r="C76" i="18"/>
  <c r="E75" i="18"/>
  <c r="D75" i="18"/>
  <c r="C75" i="18"/>
  <c r="E74" i="18"/>
  <c r="D74" i="18"/>
  <c r="C74" i="18"/>
  <c r="E73" i="18"/>
  <c r="D73" i="18"/>
  <c r="C73" i="18"/>
  <c r="E72" i="18"/>
  <c r="D72" i="18"/>
  <c r="C72" i="18"/>
  <c r="E71" i="18"/>
  <c r="D71" i="18"/>
  <c r="C71" i="18"/>
  <c r="E70" i="18"/>
  <c r="D70" i="18"/>
  <c r="C70" i="18"/>
  <c r="E69" i="18"/>
  <c r="D69" i="18"/>
  <c r="C69" i="18"/>
  <c r="E68" i="18"/>
  <c r="D68" i="18"/>
  <c r="C68" i="18"/>
  <c r="E67" i="18"/>
  <c r="D67" i="18"/>
  <c r="C67" i="18"/>
  <c r="E66" i="18"/>
  <c r="D66" i="18"/>
  <c r="C66" i="18"/>
  <c r="E65" i="18"/>
  <c r="D65" i="18"/>
  <c r="C65" i="18"/>
  <c r="E64" i="18"/>
  <c r="D64" i="18"/>
  <c r="C64" i="18"/>
  <c r="E63" i="18"/>
  <c r="D63" i="18"/>
  <c r="C63" i="18"/>
  <c r="E62" i="18"/>
  <c r="D62" i="18"/>
  <c r="C62" i="18"/>
  <c r="E61" i="18"/>
  <c r="D61" i="18"/>
  <c r="C61" i="18"/>
  <c r="E60" i="18"/>
  <c r="D60" i="18"/>
  <c r="C60" i="18"/>
  <c r="E59" i="18"/>
  <c r="D59" i="18"/>
  <c r="C59" i="18"/>
  <c r="E58" i="18"/>
  <c r="D58" i="18"/>
  <c r="C58" i="18"/>
  <c r="E57" i="18"/>
  <c r="D57" i="18"/>
  <c r="C57" i="18"/>
  <c r="E56" i="18"/>
  <c r="D56" i="18"/>
  <c r="C56" i="18"/>
  <c r="E55" i="18"/>
  <c r="D55" i="18"/>
  <c r="C55" i="18"/>
  <c r="E54" i="18"/>
  <c r="D54" i="18"/>
  <c r="C54" i="18"/>
  <c r="E53" i="18"/>
  <c r="D53" i="18"/>
  <c r="C53" i="18"/>
  <c r="E52" i="18"/>
  <c r="D52" i="18"/>
  <c r="C52" i="18"/>
  <c r="E51" i="18"/>
  <c r="D51" i="18"/>
  <c r="C51" i="18"/>
  <c r="E50" i="18"/>
  <c r="D50" i="18"/>
  <c r="C50" i="18"/>
  <c r="E49" i="18"/>
  <c r="D49" i="18"/>
  <c r="C49" i="18"/>
  <c r="E48" i="18"/>
  <c r="D48" i="18"/>
  <c r="C48" i="18"/>
  <c r="E47" i="18"/>
  <c r="D47" i="18"/>
  <c r="C47" i="18"/>
  <c r="E46" i="18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40" i="18"/>
  <c r="D40" i="18"/>
  <c r="C40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E31" i="18"/>
  <c r="D31" i="18"/>
  <c r="C31" i="18"/>
  <c r="E30" i="18"/>
  <c r="D30" i="18"/>
  <c r="C30" i="18"/>
  <c r="E29" i="18"/>
  <c r="D29" i="18"/>
  <c r="C29" i="18"/>
  <c r="E28" i="18"/>
  <c r="D28" i="18"/>
  <c r="C28" i="18"/>
  <c r="E27" i="18"/>
  <c r="D27" i="18"/>
  <c r="C27" i="18"/>
  <c r="E26" i="18"/>
  <c r="D26" i="18"/>
  <c r="C26" i="18"/>
  <c r="E25" i="18"/>
  <c r="D25" i="18"/>
  <c r="C25" i="18"/>
  <c r="E24" i="18"/>
  <c r="D24" i="18"/>
  <c r="C24" i="18"/>
  <c r="E23" i="18"/>
  <c r="D23" i="18"/>
  <c r="C23" i="18"/>
  <c r="E22" i="18"/>
  <c r="D22" i="18"/>
  <c r="C22" i="18"/>
  <c r="E21" i="18"/>
  <c r="D21" i="18"/>
  <c r="C21" i="18"/>
  <c r="E20" i="18"/>
  <c r="D20" i="18"/>
  <c r="C20" i="18"/>
  <c r="E19" i="18"/>
  <c r="D19" i="18"/>
  <c r="C19" i="18"/>
  <c r="E18" i="18"/>
  <c r="D18" i="18"/>
  <c r="C18" i="18"/>
  <c r="E17" i="18"/>
  <c r="D17" i="18"/>
  <c r="C17" i="18"/>
  <c r="E16" i="18"/>
  <c r="D16" i="18"/>
  <c r="C16" i="18"/>
  <c r="E15" i="18"/>
  <c r="D15" i="18"/>
  <c r="C15" i="18"/>
  <c r="E14" i="18"/>
  <c r="D14" i="18"/>
  <c r="C14" i="18"/>
  <c r="E13" i="18"/>
  <c r="D13" i="18"/>
  <c r="C13" i="18"/>
  <c r="E12" i="18"/>
  <c r="D12" i="18"/>
  <c r="C12" i="18"/>
  <c r="E11" i="18"/>
  <c r="D11" i="18"/>
  <c r="C11" i="18"/>
  <c r="E10" i="18"/>
  <c r="D10" i="18"/>
  <c r="C10" i="18"/>
  <c r="E9" i="18"/>
  <c r="D9" i="18"/>
  <c r="C9" i="18"/>
  <c r="E8" i="18"/>
  <c r="D8" i="18"/>
  <c r="C8" i="18"/>
  <c r="E7" i="18"/>
  <c r="D7" i="18"/>
  <c r="C7" i="18"/>
  <c r="E6" i="18"/>
  <c r="D6" i="18"/>
  <c r="C6" i="18"/>
  <c r="E5" i="18"/>
  <c r="D5" i="18"/>
  <c r="C5" i="18"/>
  <c r="E4" i="18"/>
  <c r="D4" i="18"/>
  <c r="C4" i="18"/>
  <c r="E3" i="18"/>
  <c r="D3" i="18"/>
  <c r="C3" i="18"/>
  <c r="E2" i="18"/>
  <c r="D2" i="18"/>
  <c r="C2" i="18"/>
  <c r="E140" i="17"/>
  <c r="D140" i="17"/>
  <c r="C140" i="17"/>
  <c r="E139" i="17"/>
  <c r="D139" i="17"/>
  <c r="C139" i="17"/>
  <c r="E138" i="17"/>
  <c r="D138" i="17"/>
  <c r="C138" i="17"/>
  <c r="E137" i="17"/>
  <c r="D137" i="17"/>
  <c r="C137" i="17"/>
  <c r="E136" i="17"/>
  <c r="D136" i="17"/>
  <c r="C136" i="17"/>
  <c r="E135" i="17"/>
  <c r="D135" i="17"/>
  <c r="C135" i="17"/>
  <c r="E134" i="17"/>
  <c r="D134" i="17"/>
  <c r="C134" i="17"/>
  <c r="E133" i="17"/>
  <c r="D133" i="17"/>
  <c r="C133" i="17"/>
  <c r="E132" i="17"/>
  <c r="D132" i="17"/>
  <c r="C132" i="17"/>
  <c r="E131" i="17"/>
  <c r="D131" i="17"/>
  <c r="C131" i="17"/>
  <c r="E130" i="17"/>
  <c r="D130" i="17"/>
  <c r="C130" i="17"/>
  <c r="E129" i="17"/>
  <c r="D129" i="17"/>
  <c r="C129" i="17"/>
  <c r="E128" i="17"/>
  <c r="D128" i="17"/>
  <c r="C128" i="17"/>
  <c r="E127" i="17"/>
  <c r="D127" i="17"/>
  <c r="C127" i="17"/>
  <c r="E126" i="17"/>
  <c r="D126" i="17"/>
  <c r="C126" i="17"/>
  <c r="E125" i="17"/>
  <c r="D125" i="17"/>
  <c r="C125" i="17"/>
  <c r="E124" i="17"/>
  <c r="D124" i="17"/>
  <c r="C124" i="17"/>
  <c r="E123" i="17"/>
  <c r="D123" i="17"/>
  <c r="C123" i="17"/>
  <c r="E122" i="17"/>
  <c r="D122" i="17"/>
  <c r="C122" i="17"/>
  <c r="E121" i="17"/>
  <c r="D121" i="17"/>
  <c r="C121" i="17"/>
  <c r="E120" i="17"/>
  <c r="D120" i="17"/>
  <c r="C120" i="17"/>
  <c r="E119" i="17"/>
  <c r="D119" i="17"/>
  <c r="C119" i="17"/>
  <c r="E118" i="17"/>
  <c r="D118" i="17"/>
  <c r="C118" i="17"/>
  <c r="E117" i="17"/>
  <c r="D117" i="17"/>
  <c r="C117" i="17"/>
  <c r="E116" i="17"/>
  <c r="D116" i="17"/>
  <c r="C116" i="17"/>
  <c r="E115" i="17"/>
  <c r="D115" i="17"/>
  <c r="C115" i="17"/>
  <c r="E114" i="17"/>
  <c r="D114" i="17"/>
  <c r="C114" i="17"/>
  <c r="E113" i="17"/>
  <c r="D113" i="17"/>
  <c r="C113" i="17"/>
  <c r="E112" i="17"/>
  <c r="D112" i="17"/>
  <c r="C112" i="17"/>
  <c r="E111" i="17"/>
  <c r="D111" i="17"/>
  <c r="C111" i="17"/>
  <c r="E110" i="17"/>
  <c r="D110" i="17"/>
  <c r="C110" i="17"/>
  <c r="E109" i="17"/>
  <c r="D109" i="17"/>
  <c r="C109" i="17"/>
  <c r="E108" i="17"/>
  <c r="D108" i="17"/>
  <c r="C108" i="17"/>
  <c r="E107" i="17"/>
  <c r="D107" i="17"/>
  <c r="C107" i="17"/>
  <c r="E106" i="17"/>
  <c r="D106" i="17"/>
  <c r="C106" i="17"/>
  <c r="E105" i="17"/>
  <c r="D105" i="17"/>
  <c r="C105" i="17"/>
  <c r="E104" i="17"/>
  <c r="D104" i="17"/>
  <c r="C104" i="17"/>
  <c r="E103" i="17"/>
  <c r="D103" i="17"/>
  <c r="C103" i="17"/>
  <c r="E102" i="17"/>
  <c r="D102" i="17"/>
  <c r="C102" i="17"/>
  <c r="E101" i="17"/>
  <c r="D101" i="17"/>
  <c r="C101" i="17"/>
  <c r="E100" i="17"/>
  <c r="D100" i="17"/>
  <c r="C100" i="17"/>
  <c r="E99" i="17"/>
  <c r="D99" i="17"/>
  <c r="C99" i="17"/>
  <c r="E98" i="17"/>
  <c r="D98" i="17"/>
  <c r="C98" i="17"/>
  <c r="E97" i="17"/>
  <c r="D97" i="17"/>
  <c r="C97" i="17"/>
  <c r="E96" i="17"/>
  <c r="D96" i="17"/>
  <c r="C96" i="17"/>
  <c r="E95" i="17"/>
  <c r="D95" i="17"/>
  <c r="C95" i="17"/>
  <c r="E94" i="17"/>
  <c r="D94" i="17"/>
  <c r="C94" i="17"/>
  <c r="E93" i="17"/>
  <c r="D93" i="17"/>
  <c r="C93" i="17"/>
  <c r="E92" i="17"/>
  <c r="D92" i="17"/>
  <c r="C92" i="17"/>
  <c r="E91" i="17"/>
  <c r="D91" i="17"/>
  <c r="C91" i="17"/>
  <c r="E90" i="17"/>
  <c r="D90" i="17"/>
  <c r="C90" i="17"/>
  <c r="E89" i="17"/>
  <c r="D89" i="17"/>
  <c r="C89" i="17"/>
  <c r="E88" i="17"/>
  <c r="D88" i="17"/>
  <c r="C88" i="17"/>
  <c r="E87" i="17"/>
  <c r="D87" i="17"/>
  <c r="C87" i="17"/>
  <c r="E86" i="17"/>
  <c r="D86" i="17"/>
  <c r="C86" i="17"/>
  <c r="E85" i="17"/>
  <c r="D85" i="17"/>
  <c r="C85" i="17"/>
  <c r="E84" i="17"/>
  <c r="D84" i="17"/>
  <c r="C84" i="17"/>
  <c r="E83" i="17"/>
  <c r="D83" i="17"/>
  <c r="C83" i="17"/>
  <c r="E82" i="17"/>
  <c r="D82" i="17"/>
  <c r="C82" i="17"/>
  <c r="E81" i="17"/>
  <c r="D81" i="17"/>
  <c r="C81" i="17"/>
  <c r="E80" i="17"/>
  <c r="D80" i="17"/>
  <c r="C80" i="17"/>
  <c r="E79" i="17"/>
  <c r="D79" i="17"/>
  <c r="C79" i="17"/>
  <c r="E78" i="17"/>
  <c r="D78" i="17"/>
  <c r="C78" i="17"/>
  <c r="E77" i="17"/>
  <c r="D77" i="17"/>
  <c r="C77" i="17"/>
  <c r="E76" i="17"/>
  <c r="D76" i="17"/>
  <c r="C76" i="17"/>
  <c r="E75" i="17"/>
  <c r="D75" i="17"/>
  <c r="C75" i="17"/>
  <c r="E74" i="17"/>
  <c r="D74" i="17"/>
  <c r="C74" i="17"/>
  <c r="E73" i="17"/>
  <c r="D73" i="17"/>
  <c r="C73" i="17"/>
  <c r="E72" i="17"/>
  <c r="D72" i="17"/>
  <c r="C72" i="17"/>
  <c r="E71" i="17"/>
  <c r="D71" i="17"/>
  <c r="C71" i="17"/>
  <c r="E70" i="17"/>
  <c r="D70" i="17"/>
  <c r="C70" i="17"/>
  <c r="E69" i="17"/>
  <c r="D69" i="17"/>
  <c r="C69" i="17"/>
  <c r="E68" i="17"/>
  <c r="D68" i="17"/>
  <c r="C68" i="17"/>
  <c r="E67" i="17"/>
  <c r="D67" i="17"/>
  <c r="C67" i="17"/>
  <c r="E66" i="17"/>
  <c r="D66" i="17"/>
  <c r="C66" i="17"/>
  <c r="E65" i="17"/>
  <c r="D65" i="17"/>
  <c r="C65" i="17"/>
  <c r="E64" i="17"/>
  <c r="D64" i="17"/>
  <c r="C64" i="17"/>
  <c r="E63" i="17"/>
  <c r="D63" i="17"/>
  <c r="C63" i="17"/>
  <c r="E62" i="17"/>
  <c r="D62" i="17"/>
  <c r="C62" i="17"/>
  <c r="E61" i="17"/>
  <c r="D61" i="17"/>
  <c r="C61" i="17"/>
  <c r="E60" i="17"/>
  <c r="D60" i="17"/>
  <c r="C60" i="17"/>
  <c r="E59" i="17"/>
  <c r="D59" i="17"/>
  <c r="C59" i="17"/>
  <c r="E58" i="17"/>
  <c r="D58" i="17"/>
  <c r="C58" i="17"/>
  <c r="E57" i="17"/>
  <c r="D57" i="17"/>
  <c r="C57" i="17"/>
  <c r="E56" i="17"/>
  <c r="D56" i="17"/>
  <c r="C56" i="17"/>
  <c r="E55" i="17"/>
  <c r="D55" i="17"/>
  <c r="C55" i="17"/>
  <c r="E54" i="17"/>
  <c r="D54" i="17"/>
  <c r="C54" i="17"/>
  <c r="E53" i="17"/>
  <c r="D53" i="17"/>
  <c r="C53" i="17"/>
  <c r="E52" i="17"/>
  <c r="D52" i="17"/>
  <c r="C52" i="17"/>
  <c r="E51" i="17"/>
  <c r="D51" i="17"/>
  <c r="C51" i="17"/>
  <c r="E50" i="17"/>
  <c r="D50" i="17"/>
  <c r="C50" i="17"/>
  <c r="E49" i="17"/>
  <c r="D49" i="17"/>
  <c r="C49" i="17"/>
  <c r="E48" i="17"/>
  <c r="D48" i="17"/>
  <c r="C48" i="17"/>
  <c r="E47" i="17"/>
  <c r="D47" i="17"/>
  <c r="C47" i="17"/>
  <c r="E46" i="17"/>
  <c r="D46" i="17"/>
  <c r="C46" i="17"/>
  <c r="E45" i="17"/>
  <c r="D45" i="17"/>
  <c r="C45" i="17"/>
  <c r="E44" i="17"/>
  <c r="D44" i="17"/>
  <c r="C44" i="17"/>
  <c r="E43" i="17"/>
  <c r="D43" i="17"/>
  <c r="C43" i="17"/>
  <c r="E42" i="17"/>
  <c r="D42" i="17"/>
  <c r="C42" i="17"/>
  <c r="E41" i="17"/>
  <c r="D41" i="17"/>
  <c r="C41" i="17"/>
  <c r="E40" i="17"/>
  <c r="D40" i="17"/>
  <c r="C40" i="17"/>
  <c r="E39" i="17"/>
  <c r="D39" i="17"/>
  <c r="C39" i="17"/>
  <c r="E38" i="17"/>
  <c r="D38" i="17"/>
  <c r="C38" i="17"/>
  <c r="E37" i="17"/>
  <c r="D37" i="17"/>
  <c r="C37" i="17"/>
  <c r="E36" i="17"/>
  <c r="D36" i="17"/>
  <c r="C36" i="17"/>
  <c r="E35" i="17"/>
  <c r="D35" i="17"/>
  <c r="C35" i="17"/>
  <c r="E34" i="17"/>
  <c r="D34" i="17"/>
  <c r="C34" i="17"/>
  <c r="E33" i="17"/>
  <c r="D33" i="17"/>
  <c r="C33" i="17"/>
  <c r="E32" i="17"/>
  <c r="D32" i="17"/>
  <c r="C32" i="17"/>
  <c r="E31" i="17"/>
  <c r="D31" i="17"/>
  <c r="C31" i="17"/>
  <c r="E30" i="17"/>
  <c r="D30" i="17"/>
  <c r="C30" i="17"/>
  <c r="E29" i="17"/>
  <c r="D29" i="17"/>
  <c r="C29" i="17"/>
  <c r="E28" i="17"/>
  <c r="D28" i="17"/>
  <c r="C28" i="17"/>
  <c r="E27" i="17"/>
  <c r="D27" i="17"/>
  <c r="C27" i="17"/>
  <c r="E26" i="17"/>
  <c r="D26" i="17"/>
  <c r="C26" i="17"/>
  <c r="E25" i="17"/>
  <c r="D25" i="17"/>
  <c r="C25" i="17"/>
  <c r="E24" i="17"/>
  <c r="D24" i="17"/>
  <c r="C24" i="17"/>
  <c r="E23" i="17"/>
  <c r="D23" i="17"/>
  <c r="C23" i="17"/>
  <c r="E22" i="17"/>
  <c r="D22" i="17"/>
  <c r="C22" i="17"/>
  <c r="E21" i="17"/>
  <c r="D21" i="17"/>
  <c r="C21" i="17"/>
  <c r="E20" i="17"/>
  <c r="D20" i="17"/>
  <c r="C20" i="17"/>
  <c r="E19" i="17"/>
  <c r="D19" i="17"/>
  <c r="C19" i="17"/>
  <c r="E18" i="17"/>
  <c r="D18" i="17"/>
  <c r="C18" i="17"/>
  <c r="E17" i="17"/>
  <c r="D17" i="17"/>
  <c r="C17" i="17"/>
  <c r="E16" i="17"/>
  <c r="D16" i="17"/>
  <c r="C16" i="17"/>
  <c r="E15" i="17"/>
  <c r="D15" i="17"/>
  <c r="C15" i="17"/>
  <c r="E14" i="17"/>
  <c r="D14" i="17"/>
  <c r="C14" i="17"/>
  <c r="E13" i="17"/>
  <c r="D13" i="17"/>
  <c r="C13" i="17"/>
  <c r="E12" i="17"/>
  <c r="D12" i="17"/>
  <c r="C12" i="17"/>
  <c r="E11" i="17"/>
  <c r="D11" i="17"/>
  <c r="C11" i="17"/>
  <c r="E10" i="17"/>
  <c r="D10" i="17"/>
  <c r="C10" i="17"/>
  <c r="E9" i="17"/>
  <c r="D9" i="17"/>
  <c r="C9" i="17"/>
  <c r="E8" i="17"/>
  <c r="D8" i="17"/>
  <c r="C8" i="17"/>
  <c r="E7" i="17"/>
  <c r="D7" i="17"/>
  <c r="C7" i="17"/>
  <c r="E6" i="17"/>
  <c r="D6" i="17"/>
  <c r="C6" i="17"/>
  <c r="E5" i="17"/>
  <c r="D5" i="17"/>
  <c r="C5" i="17"/>
  <c r="E4" i="17"/>
  <c r="D4" i="17"/>
  <c r="C4" i="17"/>
  <c r="E3" i="17"/>
  <c r="D3" i="17"/>
  <c r="C3" i="17"/>
  <c r="E2" i="17"/>
  <c r="D2" i="17"/>
  <c r="C2" i="17"/>
  <c r="C2" i="15"/>
  <c r="C3" i="15"/>
  <c r="C4" i="15"/>
  <c r="C5" i="15"/>
  <c r="C6" i="15"/>
  <c r="C7" i="15"/>
  <c r="C8" i="15"/>
  <c r="C9" i="15"/>
  <c r="C10" i="15"/>
  <c r="C11" i="15"/>
  <c r="C12" i="15"/>
  <c r="C13" i="15"/>
  <c r="D13" i="15"/>
  <c r="E13" i="15"/>
  <c r="C14" i="15"/>
  <c r="D14" i="15"/>
  <c r="E14" i="15"/>
  <c r="C15" i="15"/>
  <c r="D15" i="15"/>
  <c r="E15" i="15"/>
  <c r="C16" i="15"/>
  <c r="D16" i="15"/>
  <c r="E16" i="15"/>
  <c r="C17" i="15"/>
  <c r="D17" i="15"/>
  <c r="E17" i="15"/>
  <c r="C18" i="15"/>
  <c r="D18" i="15"/>
  <c r="E18" i="15"/>
  <c r="C19" i="15"/>
  <c r="D19" i="15"/>
  <c r="E19" i="15"/>
  <c r="C20" i="15"/>
  <c r="D20" i="15"/>
  <c r="E20" i="15"/>
  <c r="C21" i="15"/>
  <c r="D21" i="15"/>
  <c r="E21" i="15"/>
  <c r="C22" i="15"/>
  <c r="D22" i="15"/>
  <c r="E22" i="15"/>
  <c r="C23" i="15"/>
  <c r="D23" i="15"/>
  <c r="E23" i="15"/>
  <c r="C24" i="15"/>
  <c r="D24" i="15"/>
  <c r="E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C30" i="15"/>
  <c r="D30" i="15"/>
  <c r="E30" i="15"/>
  <c r="C31" i="15"/>
  <c r="D31" i="15"/>
  <c r="E31" i="15"/>
  <c r="C32" i="15"/>
  <c r="D32" i="15"/>
  <c r="E32" i="15"/>
  <c r="C33" i="15"/>
  <c r="D33" i="15"/>
  <c r="E33" i="15"/>
  <c r="C34" i="15"/>
  <c r="D34" i="15"/>
  <c r="E34" i="15"/>
  <c r="C35" i="15"/>
  <c r="D35" i="15"/>
  <c r="E35" i="15"/>
  <c r="C36" i="15"/>
  <c r="D36" i="15"/>
  <c r="E36" i="15"/>
  <c r="C37" i="15"/>
  <c r="D37" i="15"/>
  <c r="E37" i="15"/>
  <c r="C38" i="15"/>
  <c r="D38" i="15"/>
  <c r="E38" i="15"/>
  <c r="C39" i="15"/>
  <c r="D39" i="15"/>
  <c r="E39" i="15"/>
  <c r="C40" i="15"/>
  <c r="D40" i="15"/>
  <c r="E40" i="15"/>
  <c r="C41" i="15"/>
  <c r="D41" i="15"/>
  <c r="E41" i="15"/>
  <c r="C42" i="15"/>
  <c r="D42" i="15"/>
  <c r="E42" i="15"/>
  <c r="C43" i="15"/>
  <c r="D43" i="15"/>
  <c r="E43" i="15"/>
  <c r="C44" i="15"/>
  <c r="D44" i="15"/>
  <c r="E44" i="15"/>
  <c r="C45" i="15"/>
  <c r="D45" i="15"/>
  <c r="E45" i="15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C56" i="15"/>
  <c r="D56" i="15"/>
  <c r="E56" i="15"/>
  <c r="C57" i="15"/>
  <c r="D57" i="15"/>
  <c r="E57" i="15"/>
  <c r="C58" i="15"/>
  <c r="D58" i="15"/>
  <c r="E58" i="15"/>
  <c r="C59" i="15"/>
  <c r="D59" i="15"/>
  <c r="E59" i="15"/>
  <c r="C60" i="15"/>
  <c r="D60" i="15"/>
  <c r="E60" i="15"/>
  <c r="C61" i="15"/>
  <c r="D61" i="15"/>
  <c r="E61" i="15"/>
  <c r="C62" i="15"/>
  <c r="D62" i="15"/>
  <c r="E62" i="15"/>
  <c r="C63" i="15"/>
  <c r="D63" i="15"/>
  <c r="E63" i="15"/>
  <c r="C64" i="15"/>
  <c r="D64" i="15"/>
  <c r="E64" i="15"/>
  <c r="C65" i="15"/>
  <c r="D65" i="15"/>
  <c r="E65" i="15"/>
  <c r="C66" i="15"/>
  <c r="D66" i="15"/>
  <c r="E66" i="15"/>
  <c r="C67" i="15"/>
  <c r="D67" i="15"/>
  <c r="E67" i="15"/>
  <c r="C68" i="15"/>
  <c r="D68" i="15"/>
  <c r="E68" i="15"/>
  <c r="C69" i="15"/>
  <c r="D69" i="15"/>
  <c r="E69" i="15"/>
  <c r="C70" i="15"/>
  <c r="D70" i="15"/>
  <c r="E70" i="15"/>
  <c r="C71" i="15"/>
  <c r="D71" i="15"/>
  <c r="E71" i="15"/>
  <c r="C72" i="15"/>
  <c r="D72" i="15"/>
  <c r="E72" i="15"/>
  <c r="C73" i="15"/>
  <c r="D73" i="15"/>
  <c r="E73" i="15"/>
  <c r="C74" i="15"/>
  <c r="D74" i="15"/>
  <c r="E74" i="15"/>
  <c r="C75" i="15"/>
  <c r="D75" i="15"/>
  <c r="E75" i="15"/>
  <c r="C76" i="15"/>
  <c r="D76" i="15"/>
  <c r="E76" i="15"/>
  <c r="C77" i="15"/>
  <c r="D77" i="15"/>
  <c r="E77" i="15"/>
  <c r="C78" i="15"/>
  <c r="D78" i="15"/>
  <c r="E78" i="15"/>
  <c r="C79" i="15"/>
  <c r="D79" i="15"/>
  <c r="E79" i="15"/>
  <c r="C80" i="15"/>
  <c r="D80" i="15"/>
  <c r="E80" i="15"/>
  <c r="C81" i="15"/>
  <c r="D81" i="15"/>
  <c r="E81" i="15"/>
  <c r="C82" i="15"/>
  <c r="D82" i="15"/>
  <c r="E82" i="15"/>
  <c r="C83" i="15"/>
  <c r="D83" i="15"/>
  <c r="E83" i="15"/>
  <c r="C84" i="15"/>
  <c r="D84" i="15"/>
  <c r="E84" i="15"/>
  <c r="C85" i="15"/>
  <c r="D85" i="15"/>
  <c r="E85" i="15"/>
  <c r="C86" i="15"/>
  <c r="D86" i="15"/>
  <c r="E86" i="15"/>
  <c r="C87" i="15"/>
  <c r="D87" i="15"/>
  <c r="E87" i="15"/>
  <c r="C88" i="15"/>
  <c r="D88" i="15"/>
  <c r="E88" i="15"/>
  <c r="C89" i="15"/>
  <c r="D89" i="15"/>
  <c r="E89" i="15"/>
  <c r="C90" i="15"/>
  <c r="D90" i="15"/>
  <c r="E90" i="15"/>
  <c r="C91" i="15"/>
  <c r="D91" i="15"/>
  <c r="E91" i="15"/>
  <c r="C92" i="15"/>
  <c r="D92" i="15"/>
  <c r="E92" i="15"/>
  <c r="C93" i="15"/>
  <c r="D93" i="15"/>
  <c r="E93" i="15"/>
  <c r="C94" i="15"/>
  <c r="D94" i="15"/>
  <c r="E94" i="15"/>
  <c r="C95" i="15"/>
  <c r="D95" i="15"/>
  <c r="E95" i="15"/>
  <c r="C96" i="15"/>
  <c r="D96" i="15"/>
  <c r="E96" i="15"/>
  <c r="C97" i="15"/>
  <c r="D97" i="15"/>
  <c r="E97" i="15"/>
  <c r="C98" i="15"/>
  <c r="D98" i="15"/>
  <c r="E98" i="15"/>
  <c r="C99" i="15"/>
  <c r="D99" i="15"/>
  <c r="E99" i="15"/>
  <c r="C100" i="15"/>
  <c r="D100" i="15"/>
  <c r="E100" i="15"/>
  <c r="C101" i="15"/>
  <c r="D101" i="15"/>
  <c r="E101" i="15"/>
  <c r="C102" i="15"/>
  <c r="D102" i="15"/>
  <c r="E102" i="15"/>
  <c r="C103" i="15"/>
  <c r="D103" i="15"/>
  <c r="E103" i="15"/>
  <c r="C104" i="15"/>
  <c r="D104" i="15"/>
  <c r="E104" i="15"/>
  <c r="C105" i="15"/>
  <c r="D105" i="15"/>
  <c r="E105" i="15"/>
  <c r="C106" i="15"/>
  <c r="D106" i="15"/>
  <c r="E106" i="15"/>
  <c r="C107" i="15"/>
  <c r="D107" i="15"/>
  <c r="E107" i="15"/>
  <c r="C108" i="15"/>
  <c r="D108" i="15"/>
  <c r="E108" i="15"/>
  <c r="C109" i="15"/>
  <c r="D109" i="15"/>
  <c r="E109" i="15"/>
  <c r="C110" i="15"/>
  <c r="D110" i="15"/>
  <c r="E110" i="15"/>
  <c r="C111" i="15"/>
  <c r="D111" i="15"/>
  <c r="E111" i="15"/>
  <c r="C112" i="15"/>
  <c r="D112" i="15"/>
  <c r="E112" i="15"/>
  <c r="C113" i="15"/>
  <c r="D113" i="15"/>
  <c r="E113" i="15"/>
  <c r="C114" i="15"/>
  <c r="D114" i="15"/>
  <c r="E114" i="15"/>
  <c r="C115" i="15"/>
  <c r="D115" i="15"/>
  <c r="E115" i="15"/>
  <c r="C116" i="15"/>
  <c r="D116" i="15"/>
  <c r="E116" i="15"/>
  <c r="C117" i="15"/>
  <c r="D117" i="15"/>
  <c r="E117" i="15"/>
  <c r="C118" i="15"/>
  <c r="D118" i="15"/>
  <c r="E118" i="15"/>
  <c r="C119" i="15"/>
  <c r="D119" i="15"/>
  <c r="E119" i="15"/>
  <c r="C120" i="15"/>
  <c r="D120" i="15"/>
  <c r="E120" i="15"/>
  <c r="C121" i="15"/>
  <c r="D121" i="15"/>
  <c r="E121" i="15"/>
  <c r="C122" i="15"/>
  <c r="D122" i="15"/>
  <c r="E122" i="15"/>
  <c r="C123" i="15"/>
  <c r="D123" i="15"/>
  <c r="E123" i="15"/>
  <c r="C124" i="15"/>
  <c r="D124" i="15"/>
  <c r="E124" i="15"/>
  <c r="C125" i="15"/>
  <c r="D125" i="15"/>
  <c r="E125" i="15"/>
  <c r="C126" i="15"/>
  <c r="D126" i="15"/>
  <c r="E126" i="15"/>
  <c r="C127" i="15"/>
  <c r="D127" i="15"/>
  <c r="E127" i="15"/>
  <c r="C128" i="15"/>
  <c r="D128" i="15"/>
  <c r="E128" i="15"/>
  <c r="C129" i="15"/>
  <c r="D129" i="15"/>
  <c r="E129" i="15"/>
  <c r="C130" i="15"/>
  <c r="D130" i="15"/>
  <c r="E130" i="15"/>
  <c r="C131" i="15"/>
  <c r="D131" i="15"/>
  <c r="E131" i="15"/>
  <c r="C132" i="15"/>
  <c r="D132" i="15"/>
  <c r="E132" i="15"/>
  <c r="C133" i="15"/>
  <c r="D133" i="15"/>
  <c r="E133" i="15"/>
  <c r="C134" i="15"/>
  <c r="D134" i="15"/>
  <c r="E134" i="15"/>
  <c r="C135" i="15"/>
  <c r="D135" i="15"/>
  <c r="E135" i="15"/>
  <c r="C136" i="15"/>
  <c r="D136" i="15"/>
  <c r="E136" i="15"/>
  <c r="C137" i="15"/>
  <c r="D137" i="15"/>
  <c r="E137" i="15"/>
  <c r="C138" i="15"/>
  <c r="D138" i="15"/>
  <c r="E138" i="15"/>
  <c r="C139" i="15"/>
  <c r="D139" i="15"/>
  <c r="E139" i="15"/>
  <c r="C140" i="15"/>
  <c r="D140" i="15"/>
  <c r="E140" i="15"/>
  <c r="D3" i="15"/>
  <c r="E3" i="15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2" i="15"/>
  <c r="E2" i="15"/>
</calcChain>
</file>

<file path=xl/sharedStrings.xml><?xml version="1.0" encoding="utf-8"?>
<sst xmlns="http://schemas.openxmlformats.org/spreadsheetml/2006/main" count="152" uniqueCount="58">
  <si>
    <t>Nome</t>
  </si>
  <si>
    <t>Dorsal</t>
  </si>
  <si>
    <t>Escola</t>
  </si>
  <si>
    <t>Escalão</t>
  </si>
  <si>
    <t>A</t>
  </si>
  <si>
    <t>Dummy 2</t>
  </si>
  <si>
    <t>Dummy 1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</si>
  <si>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</si>
  <si>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</si>
  <si>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</si>
  <si>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</si>
  <si>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</si>
  <si>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</si>
  <si>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</si>
  <si>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</si>
  <si>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</si>
  <si>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</si>
  <si>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</si>
  <si>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</si>
  <si>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</si>
  <si>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</si>
  <si>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Dummy 17</t>
  </si>
  <si>
    <t>Dummy 18</t>
  </si>
  <si>
    <t>Dummy 19</t>
  </si>
  <si>
    <t>Dummy 20</t>
  </si>
  <si>
    <t>Dummy 21</t>
  </si>
  <si>
    <t>Dummy 22</t>
  </si>
  <si>
    <t>Dummy 23</t>
  </si>
  <si>
    <t>Dummy 24</t>
  </si>
  <si>
    <t>Dummy 25</t>
  </si>
  <si>
    <t>Dummy 26</t>
  </si>
  <si>
    <t>Dummy 27</t>
  </si>
  <si>
    <t>Dummy 28</t>
  </si>
  <si>
    <t>Dummy 29</t>
  </si>
  <si>
    <t>Dummy 30</t>
  </si>
  <si>
    <t>Dummy 31</t>
  </si>
  <si>
    <t>Escalao</t>
  </si>
  <si>
    <t>Benjamin F</t>
  </si>
  <si>
    <t>Benjamin M</t>
  </si>
  <si>
    <t>Inf-A F</t>
  </si>
  <si>
    <t>Inf-A M</t>
  </si>
  <si>
    <t>Inf-B F</t>
  </si>
  <si>
    <t>Inf-B M</t>
  </si>
  <si>
    <t>Inic F</t>
  </si>
  <si>
    <t>Inic M</t>
  </si>
  <si>
    <t>Juv F</t>
  </si>
  <si>
    <t>Juv M</t>
  </si>
  <si>
    <t>Sen F</t>
  </si>
  <si>
    <t>Sen M</t>
  </si>
  <si>
    <t>Atleta</t>
  </si>
  <si>
    <t>B</t>
  </si>
  <si>
    <t>Posição</t>
  </si>
  <si>
    <t>D</t>
  </si>
  <si>
    <t>C</t>
  </si>
  <si>
    <t>Inscritos</t>
  </si>
  <si>
    <t>Atleta 1</t>
  </si>
  <si>
    <t>Atleta 2</t>
  </si>
  <si>
    <t>Atleta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</si>
</sst>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2" fontId="0" fillId="0" borderId="0" xfId="0" applyNumberFormat="1"/>
  </cellXfs>
  <cellStyles count="1">
    <cellStyle name="Normal" xfId="0" builtinId="0"/>
  </cellStyles>
  <dxfs count="21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6</xdr:row>
          <xdr:rowOff>85725</xdr:rowOff>
        </xdr:from>
        <xdr:to>
          <xdr:col>14</xdr:col>
          <xdr:colOff>600075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 de Atletas Por Escalao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161925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Em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95250</xdr:rowOff>
        </xdr:from>
        <xdr:to>
          <xdr:col>10</xdr:col>
          <xdr:colOff>0</xdr:colOff>
          <xdr:row>3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Em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95250</xdr:rowOff>
        </xdr:from>
        <xdr:to>
          <xdr:col>10</xdr:col>
          <xdr:colOff>0</xdr:colOff>
          <xdr:row>3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CCA7D962-0A5F-4750-9D83-3C4BEB120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Em 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95250</xdr:rowOff>
        </xdr:from>
        <xdr:to>
          <xdr:col>10</xdr:col>
          <xdr:colOff>0</xdr:colOff>
          <xdr:row>3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0B37470-B548-4ED9-8A7B-2E02CDF3F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Em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7094E6-CC77-4FAA-9EAE-52BE427B852C}" name="Table1" displayName="Table1" ref="A1:E12" totalsRowShown="0" headerRowDxfId="20" headerRowBorderDxfId="19" tableBorderDxfId="18" totalsRowBorderDxfId="17">
  <autoFilter ref="A1:E12" xr:uid="{497094E6-CC77-4FAA-9EAE-52BE427B852C}"/>
  <tableColumns count="5">
    <tableColumn id="5" xr3:uid="{01828DA4-5CFB-42D7-BA9A-7AE71D5E5A4B}" name="Posição"/>
    <tableColumn id="1" xr3:uid="{3B007EAA-7DC9-4AEC-82E4-DD63550C5074}" name="Dorsal"/>
    <tableColumn id="2" xr3:uid="{DD5D8253-66A5-46C1-9F86-35D1B1F73133}" name="Atleta" dataDxfId="14">
      <calculatedColumnFormula>_xlfn.IFNA(VLOOKUP($B2,Atletas!$A:$D,2,FALSE),"")</calculatedColumnFormula>
    </tableColumn>
    <tableColumn id="3" xr3:uid="{48862440-8001-4545-83E5-44B1C980C612}" name="Escola" dataDxfId="16">
      <calculatedColumnFormula>_xlfn.IFNA(VLOOKUP($B2,Atletas!$A:$D,3),"")</calculatedColumnFormula>
    </tableColumn>
    <tableColumn id="4" xr3:uid="{DC6A19F6-0B36-4093-8F42-B028AEF97927}" name="Escalão" dataDxfId="15">
      <calculatedColumnFormula>_xlfn.IFNA(VLOOKUP($B2,Atletas!$A:$D,4),"")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4C5A40-22B8-4FC3-AB1D-27D8D4DFD4B3}" name="Table13" displayName="Table13" ref="A1:E12" totalsRowShown="0" headerRowDxfId="13" headerRowBorderDxfId="11" tableBorderDxfId="12" totalsRowBorderDxfId="10">
  <autoFilter ref="A1:E12" xr:uid="{497094E6-CC77-4FAA-9EAE-52BE427B852C}"/>
  <tableColumns count="5">
    <tableColumn id="5" xr3:uid="{4F7CA825-16AA-4456-8A5D-ADAD01E0DEAC}" name="Posição"/>
    <tableColumn id="1" xr3:uid="{D8A87384-813A-42AD-8600-147F7F2A3159}" name="Dorsal"/>
    <tableColumn id="2" xr3:uid="{A102359F-FF2B-40BF-9E8A-A26A6FC33E48}" name="Atleta" dataDxfId="9">
      <calculatedColumnFormula>_xlfn.IFNA(VLOOKUP($B2,Atletas!$A:$D,2,FALSE),"")</calculatedColumnFormula>
    </tableColumn>
    <tableColumn id="3" xr3:uid="{B277A67D-5FDF-49FC-AC97-BCE02219C9B6}" name="Escola" dataDxfId="8">
      <calculatedColumnFormula>_xlfn.IFNA(VLOOKUP($B2,Atletas!$A:$D,3),"")</calculatedColumnFormula>
    </tableColumn>
    <tableColumn id="4" xr3:uid="{1B28A0E0-E6B0-4F2A-811B-BE262BCBCFA7}" name="Escalão" dataDxfId="7">
      <calculatedColumnFormula>_xlfn.IFNA(VLOOKUP($B2,Atletas!$A:$D,4),"")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E457B2-3DC7-457C-91A6-8AEF07EFCB2C}" name="Table134" displayName="Table134" ref="A1:E12" totalsRowShown="0" headerRowDxfId="6" headerRowBorderDxfId="4" tableBorderDxfId="5" totalsRowBorderDxfId="3">
  <autoFilter ref="A1:E12" xr:uid="{497094E6-CC77-4FAA-9EAE-52BE427B852C}"/>
  <tableColumns count="5">
    <tableColumn id="5" xr3:uid="{68FA7DE9-9487-4152-8E4D-C530A6B7AEF0}" name="Posição"/>
    <tableColumn id="1" xr3:uid="{FE8E5BE6-FAB9-4484-A48B-D03EA5DE234A}" name="Dorsal"/>
    <tableColumn id="2" xr3:uid="{976F1365-B131-4649-B8E2-E837F7871417}" name="Atleta" dataDxfId="2">
      <calculatedColumnFormula>_xlfn.IFNA(VLOOKUP($B2,Atletas!$A:$D,2,FALSE),"")</calculatedColumnFormula>
    </tableColumn>
    <tableColumn id="3" xr3:uid="{8F9AFD9E-530F-4DAF-B2C5-AA831279B6FC}" name="Escola" dataDxfId="1">
      <calculatedColumnFormula>_xlfn.IFNA(VLOOKUP($B2,Atletas!$A:$D,3),"")</calculatedColumnFormula>
    </tableColumn>
    <tableColumn id="4" xr3:uid="{ABF3EBF3-1201-4DE1-9EA4-EE26430D0A49}" name="Escalão" dataDxfId="0">
      <calculatedColumnFormula>_xlfn.IFNA(VLOOKUP($B2,Atletas!$A:$D,4),"")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BB4F9-7C07-41CE-8495-5D7E5D3359BA}">
  <sheetPr codeName="Sheet1">
    <tabColor theme="8" tint="-0.249977111117893"/>
  </sheetPr>
  <dimension ref="A1"/>
  <sheetViews>
    <sheetView workbookViewId="0">
      <selection activeCell="M6" sqref="M6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1.GerarPDFPorEscalao">
                <anchor moveWithCells="1" sizeWithCells="1">
                  <from>
                    <xdr:col>12</xdr:col>
                    <xdr:colOff>76200</xdr:colOff>
                    <xdr:row>6</xdr:row>
                    <xdr:rowOff>85725</xdr:rowOff>
                  </from>
                  <to>
                    <xdr:col>14</xdr:col>
                    <xdr:colOff>600075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05B1A-36CE-4244-BACA-13B73AFD0F4A}">
  <sheetPr codeName="Sheet2">
    <tabColor rgb="FFFF7C80"/>
  </sheetPr>
  <dimension ref="A1:D32"/>
  <sheetViews>
    <sheetView workbookViewId="0">
      <selection activeCell="D20" sqref="D20"/>
    </sheetView>
  </sheetViews>
  <sheetFormatPr defaultRowHeight="15" x14ac:dyDescent="0.25"/>
  <cols>
    <col min="2" max="2" width="11.42578125" customWidth="1"/>
  </cols>
  <sheetData>
    <row r="1" spans="1:4" x14ac:dyDescent="0.25">
      <c r="A1" t="s">
        <v>1</v>
      </c>
      <c r="B1" t="s">
        <v>0</v>
      </c>
      <c r="C1" t="s">
        <v>2</v>
      </c>
      <c r="D1" t="s">
        <v>3</v>
      </c>
    </row>
    <row r="2" spans="1:4" x14ac:dyDescent="0.25">
      <c r="A2">
        <v>1</v>
      </c>
      <c r="B2" t="s">
        <v>6</v>
      </c>
      <c r="C2" t="s">
        <v>4</v>
      </c>
      <c r="D2" t="s">
        <v>37</v>
      </c>
    </row>
    <row r="3" spans="1:4" x14ac:dyDescent="0.25">
      <c r="A3">
        <v>2</v>
      </c>
      <c r="B3" t="s">
        <v>5</v>
      </c>
      <c r="C3" t="s">
        <v>50</v>
      </c>
      <c r="D3" t="s">
        <v>37</v>
      </c>
    </row>
    <row r="4" spans="1:4" x14ac:dyDescent="0.25">
      <c r="A4">
        <v>3</v>
      </c>
      <c r="B4" t="s">
        <v>7</v>
      </c>
      <c r="C4" t="s">
        <v>50</v>
      </c>
      <c r="D4" t="s">
        <v>37</v>
      </c>
    </row>
    <row r="5" spans="1:4" x14ac:dyDescent="0.25">
      <c r="A5">
        <v>4</v>
      </c>
      <c r="B5" t="s">
        <v>8</v>
      </c>
      <c r="C5" t="s">
        <v>50</v>
      </c>
      <c r="D5" t="s">
        <v>37</v>
      </c>
    </row>
    <row r="6" spans="1:4" x14ac:dyDescent="0.25">
      <c r="A6">
        <v>5</v>
      </c>
      <c r="B6" t="s">
        <v>9</v>
      </c>
      <c r="C6" t="s">
        <v>4</v>
      </c>
      <c r="D6" t="s">
        <v>37</v>
      </c>
    </row>
    <row r="7" spans="1:4" x14ac:dyDescent="0.25">
      <c r="A7">
        <v>6</v>
      </c>
      <c r="B7" t="s">
        <v>10</v>
      </c>
      <c r="C7" t="s">
        <v>53</v>
      </c>
      <c r="D7" t="s">
        <v>37</v>
      </c>
    </row>
    <row r="8" spans="1:4" x14ac:dyDescent="0.25">
      <c r="A8">
        <v>7</v>
      </c>
      <c r="B8" t="s">
        <v>11</v>
      </c>
      <c r="C8" t="s">
        <v>4</v>
      </c>
      <c r="D8" t="s">
        <v>38</v>
      </c>
    </row>
    <row r="9" spans="1:4" x14ac:dyDescent="0.25">
      <c r="A9">
        <v>8</v>
      </c>
      <c r="B9" t="s">
        <v>12</v>
      </c>
      <c r="C9" t="s">
        <v>4</v>
      </c>
      <c r="D9" t="s">
        <v>38</v>
      </c>
    </row>
    <row r="10" spans="1:4" x14ac:dyDescent="0.25">
      <c r="A10">
        <v>9</v>
      </c>
      <c r="B10" t="s">
        <v>13</v>
      </c>
      <c r="C10" t="s">
        <v>50</v>
      </c>
      <c r="D10" t="s">
        <v>38</v>
      </c>
    </row>
    <row r="11" spans="1:4" x14ac:dyDescent="0.25">
      <c r="A11">
        <v>10</v>
      </c>
      <c r="B11" t="s">
        <v>14</v>
      </c>
      <c r="C11" t="s">
        <v>50</v>
      </c>
      <c r="D11" t="s">
        <v>38</v>
      </c>
    </row>
    <row r="12" spans="1:4" x14ac:dyDescent="0.25">
      <c r="A12">
        <v>11</v>
      </c>
      <c r="B12" t="s">
        <v>15</v>
      </c>
      <c r="C12" t="s">
        <v>50</v>
      </c>
      <c r="D12" t="s">
        <v>38</v>
      </c>
    </row>
    <row r="13" spans="1:4" x14ac:dyDescent="0.25">
      <c r="A13">
        <v>12</v>
      </c>
      <c r="B13" t="s">
        <v>16</v>
      </c>
      <c r="C13" t="s">
        <v>4</v>
      </c>
      <c r="D13" t="s">
        <v>38</v>
      </c>
    </row>
    <row r="14" spans="1:4" x14ac:dyDescent="0.25">
      <c r="A14">
        <v>13</v>
      </c>
      <c r="B14" t="s">
        <v>17</v>
      </c>
      <c r="C14" t="s">
        <v>4</v>
      </c>
      <c r="D14" t="s">
        <v>46</v>
      </c>
    </row>
    <row r="15" spans="1:4" x14ac:dyDescent="0.25">
      <c r="A15">
        <v>14</v>
      </c>
      <c r="B15" t="s">
        <v>18</v>
      </c>
      <c r="C15" t="s">
        <v>53</v>
      </c>
      <c r="D15" t="s">
        <v>46</v>
      </c>
    </row>
    <row r="16" spans="1:4" x14ac:dyDescent="0.25">
      <c r="A16">
        <v>15</v>
      </c>
      <c r="B16" t="s">
        <v>19</v>
      </c>
      <c r="C16" t="s">
        <v>53</v>
      </c>
      <c r="D16" t="s">
        <v>46</v>
      </c>
    </row>
    <row r="17" spans="1:4" x14ac:dyDescent="0.25">
      <c r="A17">
        <v>16</v>
      </c>
      <c r="B17" t="s">
        <v>20</v>
      </c>
      <c r="C17" t="s">
        <v>4</v>
      </c>
      <c r="D17" t="s">
        <v>46</v>
      </c>
    </row>
    <row r="18" spans="1:4" x14ac:dyDescent="0.25">
      <c r="A18">
        <v>17</v>
      </c>
      <c r="B18" t="s">
        <v>21</v>
      </c>
      <c r="C18" t="s">
        <v>50</v>
      </c>
      <c r="D18" t="s">
        <v>46</v>
      </c>
    </row>
    <row r="19" spans="1:4" x14ac:dyDescent="0.25">
      <c r="A19">
        <v>18</v>
      </c>
      <c r="B19" t="s">
        <v>22</v>
      </c>
      <c r="C19" t="s">
        <v>50</v>
      </c>
      <c r="D19" t="s">
        <v>46</v>
      </c>
    </row>
    <row r="20" spans="1:4" x14ac:dyDescent="0.25">
      <c r="A20">
        <v>19</v>
      </c>
      <c r="B20" t="s">
        <v>23</v>
      </c>
      <c r="C20" t="s">
        <v>4</v>
      </c>
      <c r="D20" t="s">
        <v>46</v>
      </c>
    </row>
    <row r="21" spans="1:4" x14ac:dyDescent="0.25">
      <c r="A21">
        <v>20</v>
      </c>
      <c r="B21" t="s">
        <v>24</v>
      </c>
      <c r="C21" t="s">
        <v>50</v>
      </c>
      <c r="D21" t="s">
        <v>46</v>
      </c>
    </row>
    <row r="22" spans="1:4" x14ac:dyDescent="0.25">
      <c r="A22">
        <v>21</v>
      </c>
      <c r="B22" t="s">
        <v>25</v>
      </c>
      <c r="C22" t="s">
        <v>4</v>
      </c>
      <c r="D22" t="s">
        <v>46</v>
      </c>
    </row>
    <row r="23" spans="1:4" x14ac:dyDescent="0.25">
      <c r="A23">
        <v>22</v>
      </c>
      <c r="B23" t="s">
        <v>26</v>
      </c>
      <c r="C23" t="s">
        <v>4</v>
      </c>
      <c r="D23" t="s">
        <v>46</v>
      </c>
    </row>
    <row r="24" spans="1:4" x14ac:dyDescent="0.25">
      <c r="A24">
        <v>23</v>
      </c>
      <c r="B24" t="s">
        <v>27</v>
      </c>
      <c r="C24" t="s">
        <v>4</v>
      </c>
      <c r="D24" t="s">
        <v>46</v>
      </c>
    </row>
    <row r="25" spans="1:4" x14ac:dyDescent="0.25">
      <c r="A25">
        <v>24</v>
      </c>
      <c r="B25" t="s">
        <v>28</v>
      </c>
      <c r="C25" t="s">
        <v>4</v>
      </c>
      <c r="D25" t="s">
        <v>46</v>
      </c>
    </row>
    <row r="26" spans="1:4" x14ac:dyDescent="0.25">
      <c r="A26">
        <v>25</v>
      </c>
      <c r="B26" t="s">
        <v>29</v>
      </c>
      <c r="C26" t="s">
        <v>4</v>
      </c>
      <c r="D26" t="s">
        <v>46</v>
      </c>
    </row>
    <row r="27" spans="1:4" x14ac:dyDescent="0.25">
      <c r="A27">
        <v>26</v>
      </c>
      <c r="B27" t="s">
        <v>30</v>
      </c>
      <c r="C27" t="s">
        <v>4</v>
      </c>
      <c r="D27" t="s">
        <v>46</v>
      </c>
    </row>
    <row r="28" spans="1:4" x14ac:dyDescent="0.25">
      <c r="A28">
        <v>27</v>
      </c>
      <c r="B28" t="s">
        <v>31</v>
      </c>
      <c r="C28" t="s">
        <v>4</v>
      </c>
      <c r="D28" t="s">
        <v>46</v>
      </c>
    </row>
    <row r="29" spans="1:4" x14ac:dyDescent="0.25">
      <c r="A29">
        <v>28</v>
      </c>
      <c r="B29" t="s">
        <v>32</v>
      </c>
      <c r="C29" t="s">
        <v>4</v>
      </c>
      <c r="D29" t="s">
        <v>46</v>
      </c>
    </row>
    <row r="30" spans="1:4" x14ac:dyDescent="0.25">
      <c r="A30">
        <v>29</v>
      </c>
      <c r="B30" t="s">
        <v>33</v>
      </c>
      <c r="C30" t="s">
        <v>4</v>
      </c>
      <c r="D30" t="s">
        <v>46</v>
      </c>
    </row>
    <row r="31" spans="1:4" x14ac:dyDescent="0.25">
      <c r="A31">
        <v>30</v>
      </c>
      <c r="B31" t="s">
        <v>34</v>
      </c>
      <c r="C31" t="s">
        <v>4</v>
      </c>
      <c r="D31" t="s">
        <v>46</v>
      </c>
    </row>
    <row r="32" spans="1:4" x14ac:dyDescent="0.25">
      <c r="A32">
        <v>31</v>
      </c>
      <c r="B32" t="s">
        <v>35</v>
      </c>
      <c r="C32" t="s">
        <v>4</v>
      </c>
      <c r="D32" t="s">
        <v>46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hisWorkbook.SalvarSheetComoPDF">
                <anchor moveWithCells="1" sizeWithCells="1">
                  <from>
                    <xdr:col>6</xdr:col>
                    <xdr:colOff>0</xdr:colOff>
                    <xdr:row>0</xdr:row>
                    <xdr:rowOff>161925</xdr:rowOff>
                  </from>
                  <to>
                    <xdr:col>9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4B7F80-18A2-42F0-8BD8-E446D5390D95}">
          <x14:formula1>
            <xm:f>Escaloes!$A:$A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154E-42CF-45C1-B6CA-8407D279CBB3}">
  <sheetPr codeName="Sheet5"/>
  <dimension ref="A1:G5"/>
  <sheetViews>
    <sheetView workbookViewId="0">
      <selection activeCell="B2" sqref="B2"/>
    </sheetView>
  </sheetViews>
  <sheetFormatPr defaultRowHeight="15" x14ac:dyDescent="0.25"/>
  <cols>
    <col min="1" max="1" width="12.42578125" customWidth="1"/>
    <col min="3" max="3" width="9.85546875" customWidth="1"/>
    <col min="4" max="4" width="8.7109375" customWidth="1"/>
    <col min="7" max="7" width="12.5703125" customWidth="1"/>
  </cols>
  <sheetData>
    <row r="1" spans="1:7" x14ac:dyDescent="0.25">
      <c r="A1" t="s">
        <v>37</v>
      </c>
      <c r="B1" t="s">
        <v>55</v>
      </c>
      <c r="C1" t="s">
        <v>56</v>
      </c>
      <c r="D1" t="s">
        <v>57</v>
      </c>
    </row>
    <row r="2" spans="1:7" x14ac:dyDescent="0.25">
      <c r="A2" t="s">
        <v>4</v>
      </c>
      <c r="G2" s="2"/>
    </row>
    <row r="3" spans="1:7" x14ac:dyDescent="0.25">
      <c r="A3" t="s">
        <v>50</v>
      </c>
    </row>
    <row r="4" spans="1:7" x14ac:dyDescent="0.25">
      <c r="A4" t="s">
        <v>53</v>
      </c>
    </row>
    <row r="5" spans="1:7" x14ac:dyDescent="0.25">
      <c r="A5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22E4B-3D9D-4E0E-B354-3F5F83935EDD}">
  <sheetPr codeName="Sheet12">
    <tabColor theme="9" tint="0.79998168889431442"/>
  </sheetPr>
  <dimension ref="A1:B13"/>
  <sheetViews>
    <sheetView workbookViewId="0">
      <selection activeCell="B2" sqref="B2"/>
    </sheetView>
  </sheetViews>
  <sheetFormatPr defaultRowHeight="15" x14ac:dyDescent="0.25"/>
  <cols>
    <col min="1" max="1" width="12.42578125" customWidth="1"/>
  </cols>
  <sheetData>
    <row r="1" spans="1:2" x14ac:dyDescent="0.25">
      <c r="A1" t="s">
        <v>36</v>
      </c>
      <c r="B1" t="s">
        <v>54</v>
      </c>
    </row>
    <row r="2" spans="1:2" x14ac:dyDescent="0.25">
      <c r="A2" t="s">
        <v>37</v>
      </c>
      <c r="B2">
        <f>COUNTIF(Atletas!D:D,Escaloes!A2)</f>
        <v>6</v>
      </c>
    </row>
    <row r="3" spans="1:2" x14ac:dyDescent="0.25">
      <c r="A3" t="s">
        <v>38</v>
      </c>
      <c r="B3">
        <f>COUNTIF(Atletas!D:D,Escaloes!A3)</f>
        <v>6</v>
      </c>
    </row>
    <row r="4" spans="1:2" x14ac:dyDescent="0.25">
      <c r="A4" t="s">
        <v>39</v>
      </c>
      <c r="B4">
        <f>COUNTIF(Atletas!D:D,Escaloes!A4)</f>
        <v>0</v>
      </c>
    </row>
    <row r="5" spans="1:2" x14ac:dyDescent="0.25">
      <c r="A5" t="s">
        <v>40</v>
      </c>
      <c r="B5">
        <f>COUNTIF(Atletas!D:D,Escaloes!A5)</f>
        <v>0</v>
      </c>
    </row>
    <row r="6" spans="1:2" x14ac:dyDescent="0.25">
      <c r="A6" t="s">
        <v>41</v>
      </c>
      <c r="B6">
        <f>COUNTIF(Atletas!D:D,Escaloes!A6)</f>
        <v>0</v>
      </c>
    </row>
    <row r="7" spans="1:2" x14ac:dyDescent="0.25">
      <c r="A7" t="s">
        <v>42</v>
      </c>
      <c r="B7">
        <f>COUNTIF(Atletas!D:D,Escaloes!A7)</f>
        <v>0</v>
      </c>
    </row>
    <row r="8" spans="1:2" x14ac:dyDescent="0.25">
      <c r="A8" t="s">
        <v>43</v>
      </c>
      <c r="B8">
        <f>COUNTIF(Atletas!D:D,Escaloes!A8)</f>
        <v>0</v>
      </c>
    </row>
    <row r="9" spans="1:2" x14ac:dyDescent="0.25">
      <c r="A9" t="s">
        <v>44</v>
      </c>
      <c r="B9">
        <f>COUNTIF(Atletas!D:D,Escaloes!A9)</f>
        <v>0</v>
      </c>
    </row>
    <row r="10" spans="1:2" x14ac:dyDescent="0.25">
      <c r="A10" t="s">
        <v>45</v>
      </c>
      <c r="B10">
        <f>COUNTIF(Atletas!D:D,Escaloes!A10)</f>
        <v>0</v>
      </c>
    </row>
    <row r="11" spans="1:2" x14ac:dyDescent="0.25">
      <c r="A11" t="s">
        <v>46</v>
      </c>
      <c r="B11">
        <f>COUNTIF(Atletas!D:D,Escaloes!A11)</f>
        <v>19</v>
      </c>
    </row>
    <row r="12" spans="1:2" x14ac:dyDescent="0.25">
      <c r="A12" t="s">
        <v>47</v>
      </c>
      <c r="B12">
        <f>COUNTIF(Atletas!D:D,Escaloes!A12)</f>
        <v>0</v>
      </c>
    </row>
    <row r="13" spans="1:2" x14ac:dyDescent="0.25">
      <c r="A13" t="s">
        <v>48</v>
      </c>
      <c r="B13">
        <f>COUNTIF(Atletas!D:D,Escaloes!A13)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4BA1-7A49-4A5B-9182-C8DA34D97EE4}">
  <sheetPr codeName="Sheet3">
    <tabColor theme="9" tint="0.79998168889431442"/>
  </sheetPr>
  <dimension ref="A1:N5"/>
  <sheetViews>
    <sheetView workbookViewId="0">
      <selection activeCell="D2" sqref="D2"/>
    </sheetView>
  </sheetViews>
  <sheetFormatPr defaultRowHeight="15" x14ac:dyDescent="0.25"/>
  <sheetData>
    <row r="1" spans="1:14" x14ac:dyDescent="0.25">
      <c r="A1" t="s">
        <v>2</v>
      </c>
      <c r="B1" t="s">
        <v>54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</row>
    <row r="2" spans="1:14" x14ac:dyDescent="0.25">
      <c r="A2" t="s">
        <v>4</v>
      </c>
      <c r="B2">
        <f>COUNTIF(Atletas!C:C,Escolas!A2)</f>
        <v>19</v>
      </c>
      <c r="C2">
        <f>COUNTIFS(Atletas!$C:$C,Escolas!$A2,Atletas!$D:$D,Escolas!C$1)</f>
        <v>2</v>
      </c>
      <c r="D2">
        <f>COUNTIFS(Atletas!$C:$C,Escolas!$A2,Atletas!$D:$D,Escolas!D$1)</f>
        <v>3</v>
      </c>
      <c r="E2">
        <f>COUNTIFS(Atletas!$C:$C,Escolas!$A2,Atletas!$D:$D,Escolas!E$1)</f>
        <v>0</v>
      </c>
      <c r="F2">
        <f>COUNTIFS(Atletas!$C:$C,Escolas!$A2,Atletas!$D:$D,Escolas!F$1)</f>
        <v>0</v>
      </c>
      <c r="G2">
        <f>COUNTIFS(Atletas!$C:$C,Escolas!$A2,Atletas!$D:$D,Escolas!G$1)</f>
        <v>0</v>
      </c>
      <c r="H2">
        <f>COUNTIFS(Atletas!$C:$C,Escolas!$A2,Atletas!$D:$D,Escolas!H$1)</f>
        <v>0</v>
      </c>
      <c r="I2">
        <f>COUNTIFS(Atletas!$C:$C,Escolas!$A2,Atletas!$D:$D,Escolas!I$1)</f>
        <v>0</v>
      </c>
      <c r="J2">
        <f>COUNTIFS(Atletas!$C:$C,Escolas!$A2,Atletas!$D:$D,Escolas!J$1)</f>
        <v>0</v>
      </c>
      <c r="K2">
        <f>COUNTIFS(Atletas!$C:$C,Escolas!$A2,Atletas!$D:$D,Escolas!K$1)</f>
        <v>0</v>
      </c>
      <c r="L2">
        <f>COUNTIFS(Atletas!$C:$C,Escolas!$A2,Atletas!$D:$D,Escolas!L$1)</f>
        <v>14</v>
      </c>
      <c r="M2">
        <f>COUNTIFS(Atletas!$C:$C,Escolas!$A2,Atletas!$D:$D,Escolas!M$1)</f>
        <v>0</v>
      </c>
      <c r="N2">
        <f>COUNTIFS(Atletas!$C:$C,Escolas!$A2,Atletas!$D:$D,Escolas!N$1)</f>
        <v>0</v>
      </c>
    </row>
    <row r="3" spans="1:14" x14ac:dyDescent="0.25">
      <c r="A3" t="s">
        <v>50</v>
      </c>
      <c r="B3">
        <f>COUNTIF(Atletas!C:C,Escolas!A3)</f>
        <v>9</v>
      </c>
      <c r="C3">
        <f>COUNTIFS(Atletas!$C:$C,Escolas!$A3,Atletas!$D:$D,Escolas!C$1)</f>
        <v>3</v>
      </c>
      <c r="D3">
        <f>COUNTIFS(Atletas!$C:$C,Escolas!$A3,Atletas!$D:$D,Escolas!D$1)</f>
        <v>3</v>
      </c>
      <c r="E3">
        <f>COUNTIFS(Atletas!$C:$C,Escolas!$A3,Atletas!$D:$D,Escolas!E$1)</f>
        <v>0</v>
      </c>
      <c r="F3">
        <f>COUNTIFS(Atletas!$C:$C,Escolas!$A3,Atletas!$D:$D,Escolas!F$1)</f>
        <v>0</v>
      </c>
      <c r="G3">
        <f>COUNTIFS(Atletas!$C:$C,Escolas!$A3,Atletas!$D:$D,Escolas!G$1)</f>
        <v>0</v>
      </c>
      <c r="H3">
        <f>COUNTIFS(Atletas!$C:$C,Escolas!$A3,Atletas!$D:$D,Escolas!H$1)</f>
        <v>0</v>
      </c>
      <c r="I3">
        <f>COUNTIFS(Atletas!$C:$C,Escolas!$A3,Atletas!$D:$D,Escolas!I$1)</f>
        <v>0</v>
      </c>
      <c r="J3">
        <f>COUNTIFS(Atletas!$C:$C,Escolas!$A3,Atletas!$D:$D,Escolas!J$1)</f>
        <v>0</v>
      </c>
      <c r="K3">
        <f>COUNTIFS(Atletas!$C:$C,Escolas!$A3,Atletas!$D:$D,Escolas!K$1)</f>
        <v>0</v>
      </c>
      <c r="L3">
        <f>COUNTIFS(Atletas!$C:$C,Escolas!$A3,Atletas!$D:$D,Escolas!L$1)</f>
        <v>3</v>
      </c>
      <c r="M3">
        <f>COUNTIFS(Atletas!$C:$C,Escolas!$A3,Atletas!$D:$D,Escolas!M$1)</f>
        <v>0</v>
      </c>
      <c r="N3">
        <f>COUNTIFS(Atletas!$C:$C,Escolas!$A3,Atletas!$D:$D,Escolas!N$1)</f>
        <v>0</v>
      </c>
    </row>
    <row r="4" spans="1:14" x14ac:dyDescent="0.25">
      <c r="A4" t="s">
        <v>53</v>
      </c>
      <c r="B4">
        <f>COUNTIF(Atletas!C:C,Escolas!A4)</f>
        <v>3</v>
      </c>
      <c r="C4">
        <f>COUNTIFS(Atletas!$C:$C,Escolas!$A4,Atletas!$D:$D,Escolas!C$1)</f>
        <v>1</v>
      </c>
      <c r="D4">
        <f>COUNTIFS(Atletas!$C:$C,Escolas!$A4,Atletas!$D:$D,Escolas!D$1)</f>
        <v>0</v>
      </c>
      <c r="E4">
        <f>COUNTIFS(Atletas!$C:$C,Escolas!$A4,Atletas!$D:$D,Escolas!E$1)</f>
        <v>0</v>
      </c>
      <c r="F4">
        <f>COUNTIFS(Atletas!$C:$C,Escolas!$A4,Atletas!$D:$D,Escolas!F$1)</f>
        <v>0</v>
      </c>
      <c r="G4">
        <f>COUNTIFS(Atletas!$C:$C,Escolas!$A4,Atletas!$D:$D,Escolas!G$1)</f>
        <v>0</v>
      </c>
      <c r="H4">
        <f>COUNTIFS(Atletas!$C:$C,Escolas!$A4,Atletas!$D:$D,Escolas!H$1)</f>
        <v>0</v>
      </c>
      <c r="I4">
        <f>COUNTIFS(Atletas!$C:$C,Escolas!$A4,Atletas!$D:$D,Escolas!I$1)</f>
        <v>0</v>
      </c>
      <c r="J4">
        <f>COUNTIFS(Atletas!$C:$C,Escolas!$A4,Atletas!$D:$D,Escolas!J$1)</f>
        <v>0</v>
      </c>
      <c r="K4">
        <f>COUNTIFS(Atletas!$C:$C,Escolas!$A4,Atletas!$D:$D,Escolas!K$1)</f>
        <v>0</v>
      </c>
      <c r="L4">
        <f>COUNTIFS(Atletas!$C:$C,Escolas!$A4,Atletas!$D:$D,Escolas!L$1)</f>
        <v>2</v>
      </c>
      <c r="M4">
        <f>COUNTIFS(Atletas!$C:$C,Escolas!$A4,Atletas!$D:$D,Escolas!M$1)</f>
        <v>0</v>
      </c>
      <c r="N4">
        <f>COUNTIFS(Atletas!$C:$C,Escolas!$A4,Atletas!$D:$D,Escolas!N$1)</f>
        <v>0</v>
      </c>
    </row>
    <row r="5" spans="1:14" x14ac:dyDescent="0.25">
      <c r="A5" t="s">
        <v>52</v>
      </c>
      <c r="B5">
        <f>COUNTIF(Atletas!C:C,Escolas!A5)</f>
        <v>0</v>
      </c>
      <c r="C5">
        <f>COUNTIFS(Atletas!$C:$C,Escolas!$A5,Atletas!$D:$D,Escolas!C$1)</f>
        <v>0</v>
      </c>
      <c r="D5">
        <f>COUNTIFS(Atletas!$C:$C,Escolas!$A5,Atletas!$D:$D,Escolas!D$1)</f>
        <v>0</v>
      </c>
      <c r="E5">
        <f>COUNTIFS(Atletas!$C:$C,Escolas!$A5,Atletas!$D:$D,Escolas!E$1)</f>
        <v>0</v>
      </c>
      <c r="F5">
        <f>COUNTIFS(Atletas!$C:$C,Escolas!$A5,Atletas!$D:$D,Escolas!F$1)</f>
        <v>0</v>
      </c>
      <c r="G5">
        <f>COUNTIFS(Atletas!$C:$C,Escolas!$A5,Atletas!$D:$D,Escolas!G$1)</f>
        <v>0</v>
      </c>
      <c r="H5">
        <f>COUNTIFS(Atletas!$C:$C,Escolas!$A5,Atletas!$D:$D,Escolas!H$1)</f>
        <v>0</v>
      </c>
      <c r="I5">
        <f>COUNTIFS(Atletas!$C:$C,Escolas!$A5,Atletas!$D:$D,Escolas!I$1)</f>
        <v>0</v>
      </c>
      <c r="J5">
        <f>COUNTIFS(Atletas!$C:$C,Escolas!$A5,Atletas!$D:$D,Escolas!J$1)</f>
        <v>0</v>
      </c>
      <c r="K5">
        <f>COUNTIFS(Atletas!$C:$C,Escolas!$A5,Atletas!$D:$D,Escolas!K$1)</f>
        <v>0</v>
      </c>
      <c r="L5">
        <f>COUNTIFS(Atletas!$C:$C,Escolas!$A5,Atletas!$D:$D,Escolas!L$1)</f>
        <v>0</v>
      </c>
      <c r="M5">
        <f>COUNTIFS(Atletas!$C:$C,Escolas!$A5,Atletas!$D:$D,Escolas!M$1)</f>
        <v>0</v>
      </c>
      <c r="N5">
        <f>COUNTIFS(Atletas!$C:$C,Escolas!$A5,Atletas!$D:$D,Escolas!N$1)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EDC68-1291-4503-B0A4-5E3A9C4795A9}">
  <sheetPr codeName="Sheet4"/>
  <dimension ref="A1:E140"/>
  <sheetViews>
    <sheetView showGridLines="0" tabSelected="1" workbookViewId="0">
      <selection activeCell="D5" sqref="D5"/>
    </sheetView>
  </sheetViews>
  <sheetFormatPr defaultRowHeight="15" x14ac:dyDescent="0.25"/>
  <cols>
    <col min="1" max="1" width="6.42578125" customWidth="1"/>
    <col min="2" max="2" width="8.28515625" customWidth="1"/>
    <col min="3" max="3" width="34.28515625" customWidth="1"/>
    <col min="4" max="4" width="23.5703125" customWidth="1"/>
    <col min="5" max="5" width="12.85546875" customWidth="1"/>
  </cols>
  <sheetData>
    <row r="1" spans="1:5" x14ac:dyDescent="0.25">
      <c r="A1" t="s">
        <v>51</v>
      </c>
      <c r="B1" t="s">
        <v>1</v>
      </c>
      <c r="C1" t="s">
        <v>49</v>
      </c>
      <c r="D1" t="s">
        <v>2</v>
      </c>
      <c r="E1" t="s">
        <v>3</v>
      </c>
    </row>
    <row r="2" spans="1:5" x14ac:dyDescent="0.25">
      <c r="A2">
        <v>1</v>
      </c>
      <c r="B2">
        <v>1</v>
      </c>
      <c r="C2" s="1" t="str">
        <f>_xlfn.IFNA(VLOOKUP($B2,Atletas!$A:$D,2,FALSE),"")</f>
        <v>Dummy 1</v>
      </c>
      <c r="D2" s="1" t="str">
        <f>_xlfn.IFNA(VLOOKUP($B2,Atletas!$A:$D,3),"")</f>
        <v>A</v>
      </c>
      <c r="E2" s="1" t="str">
        <f>_xlfn.IFNA(VLOOKUP($B2,Atletas!$A:$D,4),"")</f>
        <v>Benjamin F</v>
      </c>
    </row>
    <row r="3" spans="1:5" x14ac:dyDescent="0.25">
      <c r="A3">
        <v>2</v>
      </c>
      <c r="B3">
        <v>2</v>
      </c>
      <c r="C3" s="1" t="str">
        <f>_xlfn.IFNA(VLOOKUP($B3,Atletas!$A:$D,2,FALSE),"")</f>
        <v>Dummy 2</v>
      </c>
      <c r="D3" s="1" t="str">
        <f>_xlfn.IFNA(VLOOKUP($B3,Atletas!$A:$D,3),"")</f>
        <v>B</v>
      </c>
      <c r="E3" s="1" t="str">
        <f>_xlfn.IFNA(VLOOKUP($B3,Atletas!$A:$D,4),"")</f>
        <v>Benjamin F</v>
      </c>
    </row>
    <row r="4" spans="1:5" x14ac:dyDescent="0.25">
      <c r="A4">
        <v>3</v>
      </c>
      <c r="B4">
        <v>3</v>
      </c>
      <c r="C4" s="1" t="str">
        <f>_xlfn.IFNA(VLOOKUP($B4,Atletas!$A:$D,2,FALSE),"")</f>
        <v>Dummy 3</v>
      </c>
      <c r="D4" s="1" t="str">
        <f>_xlfn.IFNA(VLOOKUP($B4,Atletas!$A:$D,3),"")</f>
        <v>B</v>
      </c>
      <c r="E4" s="1" t="str">
        <f>_xlfn.IFNA(VLOOKUP($B4,Atletas!$A:$D,4),"")</f>
        <v>Benjamin F</v>
      </c>
    </row>
    <row r="5" spans="1:5" x14ac:dyDescent="0.25">
      <c r="A5">
        <v>4</v>
      </c>
      <c r="B5">
        <v>4</v>
      </c>
      <c r="C5" s="1" t="str">
        <f>_xlfn.IFNA(VLOOKUP($B5,Atletas!$A:$D,2,FALSE),"")</f>
        <v>Dummy 4</v>
      </c>
      <c r="D5" s="1" t="str">
        <f>_xlfn.IFNA(VLOOKUP($B5,Atletas!$A:$D,3),"")</f>
        <v>B</v>
      </c>
      <c r="E5" s="1" t="str">
        <f>_xlfn.IFNA(VLOOKUP($B5,Atletas!$A:$D,4),"")</f>
        <v>Benjamin F</v>
      </c>
    </row>
    <row r="6" spans="1:5" x14ac:dyDescent="0.25">
      <c r="A6">
        <v>5</v>
      </c>
      <c r="B6">
        <v>5</v>
      </c>
      <c r="C6" s="1" t="str">
        <f>_xlfn.IFNA(VLOOKUP($B6,Atletas!$A:$D,2,FALSE),"")</f>
        <v>Dummy 5</v>
      </c>
      <c r="D6" s="1" t="str">
        <f>_xlfn.IFNA(VLOOKUP($B6,Atletas!$A:$D,3),"")</f>
        <v>A</v>
      </c>
      <c r="E6" s="1" t="str">
        <f>_xlfn.IFNA(VLOOKUP($B6,Atletas!$A:$D,4),"")</f>
        <v>Benjamin F</v>
      </c>
    </row>
    <row r="7" spans="1:5" x14ac:dyDescent="0.25">
      <c r="A7">
        <v>6</v>
      </c>
      <c r="B7">
        <v>6</v>
      </c>
      <c r="C7" s="1" t="str">
        <f>_xlfn.IFNA(VLOOKUP($B7,Atletas!$A:$D,2,FALSE),"")</f>
        <v>Dummy 6</v>
      </c>
      <c r="D7" s="1" t="str">
        <f>_xlfn.IFNA(VLOOKUP($B7,Atletas!$A:$D,3),"")</f>
        <v>C</v>
      </c>
      <c r="E7" s="1" t="str">
        <f>_xlfn.IFNA(VLOOKUP($B7,Atletas!$A:$D,4),"")</f>
        <v>Benjamin F</v>
      </c>
    </row>
    <row r="8" spans="1:5" x14ac:dyDescent="0.25">
      <c r="C8" s="1" t="str">
        <f>_xlfn.IFNA(VLOOKUP($B8,Atletas!$A:$D,2,FALSE),"")</f>
        <v/>
      </c>
      <c r="D8" s="1" t="str">
        <f>_xlfn.IFNA(VLOOKUP($B8,Atletas!$A:$D,3),"")</f>
        <v/>
      </c>
      <c r="E8" s="1" t="str">
        <f>_xlfn.IFNA(VLOOKUP($B8,Atletas!$A:$D,4),"")</f>
        <v/>
      </c>
    </row>
    <row r="9" spans="1:5" x14ac:dyDescent="0.25">
      <c r="C9" s="1" t="str">
        <f>_xlfn.IFNA(VLOOKUP($B9,Atletas!$A:$D,2,FALSE),"")</f>
        <v/>
      </c>
      <c r="D9" s="1" t="str">
        <f>_xlfn.IFNA(VLOOKUP($B9,Atletas!$A:$D,3),"")</f>
        <v/>
      </c>
      <c r="E9" s="1" t="str">
        <f>_xlfn.IFNA(VLOOKUP($B9,Atletas!$A:$D,4),"")</f>
        <v/>
      </c>
    </row>
    <row r="10" spans="1:5" x14ac:dyDescent="0.25">
      <c r="C10" s="1" t="str">
        <f>_xlfn.IFNA(VLOOKUP($B10,Atletas!$A:$D,2,FALSE),"")</f>
        <v/>
      </c>
      <c r="D10" s="1" t="str">
        <f>_xlfn.IFNA(VLOOKUP($B10,Atletas!$A:$D,3),"")</f>
        <v/>
      </c>
      <c r="E10" s="1" t="str">
        <f>_xlfn.IFNA(VLOOKUP($B10,Atletas!$A:$D,4),"")</f>
        <v/>
      </c>
    </row>
    <row r="11" spans="1:5" x14ac:dyDescent="0.25">
      <c r="C11" s="1" t="str">
        <f>_xlfn.IFNA(VLOOKUP($B11,Atletas!$A:$D,2,FALSE),"")</f>
        <v/>
      </c>
      <c r="D11" s="1" t="str">
        <f>_xlfn.IFNA(VLOOKUP($B11,Atletas!$A:$D,3),"")</f>
        <v/>
      </c>
      <c r="E11" s="1" t="str">
        <f>_xlfn.IFNA(VLOOKUP($B11,Atletas!$A:$D,4),"")</f>
        <v/>
      </c>
    </row>
    <row r="12" spans="1:5" x14ac:dyDescent="0.25">
      <c r="C12" s="1" t="str">
        <f>_xlfn.IFNA(VLOOKUP($B12,Atletas!$A:$D,2,FALSE),"")</f>
        <v/>
      </c>
      <c r="D12" s="1" t="str">
        <f>_xlfn.IFNA(VLOOKUP($B12,Atletas!$A:$D,3),"")</f>
        <v/>
      </c>
      <c r="E12" s="1" t="str">
        <f>_xlfn.IFNA(VLOOKUP($B12,Atletas!$A:$D,4),"")</f>
        <v/>
      </c>
    </row>
    <row r="13" spans="1:5" x14ac:dyDescent="0.25">
      <c r="C13" t="str">
        <f>_xlfn.IFNA(VLOOKUP($B13,Atletas!$A:$D,2),"")</f>
        <v/>
      </c>
      <c r="D13" t="str">
        <f>_xlfn.IFNA(VLOOKUP($B13,Atletas!$A:$D,3),"")</f>
        <v/>
      </c>
      <c r="E13" t="str">
        <f>_xlfn.IFNA(VLOOKUP($B13,Atletas!$A:$D,4),"")</f>
        <v/>
      </c>
    </row>
    <row r="14" spans="1:5" x14ac:dyDescent="0.25">
      <c r="C14" t="str">
        <f>_xlfn.IFNA(VLOOKUP($B14,Atletas!$A:$D,2),"")</f>
        <v/>
      </c>
      <c r="D14" t="str">
        <f>_xlfn.IFNA(VLOOKUP($B14,Atletas!$A:$D,3),"")</f>
        <v/>
      </c>
      <c r="E14" t="str">
        <f>_xlfn.IFNA(VLOOKUP($B14,Atletas!$A:$D,4),"")</f>
        <v/>
      </c>
    </row>
    <row r="15" spans="1:5" x14ac:dyDescent="0.25">
      <c r="C15" t="str">
        <f>_xlfn.IFNA(VLOOKUP($B15,Atletas!$A:$D,2),"")</f>
        <v/>
      </c>
      <c r="D15" t="str">
        <f>_xlfn.IFNA(VLOOKUP($B15,Atletas!$A:$D,3),"")</f>
        <v/>
      </c>
      <c r="E15" t="str">
        <f>_xlfn.IFNA(VLOOKUP($B15,Atletas!$A:$D,4),"")</f>
        <v/>
      </c>
    </row>
    <row r="16" spans="1:5" x14ac:dyDescent="0.25">
      <c r="C16" t="str">
        <f>_xlfn.IFNA(VLOOKUP($B16,Atletas!$A:$D,2),"")</f>
        <v/>
      </c>
      <c r="D16" t="str">
        <f>_xlfn.IFNA(VLOOKUP($B16,Atletas!$A:$D,3),"")</f>
        <v/>
      </c>
      <c r="E16" t="str">
        <f>_xlfn.IFNA(VLOOKUP($B16,Atletas!$A:$D,4),"")</f>
        <v/>
      </c>
    </row>
    <row r="17" spans="3:5" x14ac:dyDescent="0.25">
      <c r="C17" t="str">
        <f>_xlfn.IFNA(VLOOKUP($B17,Atletas!$A:$D,2),"")</f>
        <v/>
      </c>
      <c r="D17" t="str">
        <f>_xlfn.IFNA(VLOOKUP($B17,Atletas!$A:$D,3),"")</f>
        <v/>
      </c>
      <c r="E17" t="str">
        <f>_xlfn.IFNA(VLOOKUP($B17,Atletas!$A:$D,4),"")</f>
        <v/>
      </c>
    </row>
    <row r="18" spans="3:5" x14ac:dyDescent="0.25">
      <c r="C18" t="str">
        <f>_xlfn.IFNA(VLOOKUP($B18,Atletas!$A:$D,2),"")</f>
        <v/>
      </c>
      <c r="D18" t="str">
        <f>_xlfn.IFNA(VLOOKUP($B18,Atletas!$A:$D,3),"")</f>
        <v/>
      </c>
      <c r="E18" t="str">
        <f>_xlfn.IFNA(VLOOKUP($B18,Atletas!$A:$D,4),"")</f>
        <v/>
      </c>
    </row>
    <row r="19" spans="3:5" x14ac:dyDescent="0.25">
      <c r="C19" t="str">
        <f>_xlfn.IFNA(VLOOKUP($B19,Atletas!$A:$D,2),"")</f>
        <v/>
      </c>
      <c r="D19" t="str">
        <f>_xlfn.IFNA(VLOOKUP($B19,Atletas!$A:$D,3),"")</f>
        <v/>
      </c>
      <c r="E19" t="str">
        <f>_xlfn.IFNA(VLOOKUP($B19,Atletas!$A:$D,4),"")</f>
        <v/>
      </c>
    </row>
    <row r="20" spans="3:5" x14ac:dyDescent="0.25">
      <c r="C20" t="str">
        <f>_xlfn.IFNA(VLOOKUP($B20,Atletas!$A:$D,2),"")</f>
        <v/>
      </c>
      <c r="D20" t="str">
        <f>_xlfn.IFNA(VLOOKUP($B20,Atletas!$A:$D,3),"")</f>
        <v/>
      </c>
      <c r="E20" t="str">
        <f>_xlfn.IFNA(VLOOKUP($B20,Atletas!$A:$D,4),"")</f>
        <v/>
      </c>
    </row>
    <row r="21" spans="3:5" x14ac:dyDescent="0.25">
      <c r="C21" t="str">
        <f>_xlfn.IFNA(VLOOKUP($B21,Atletas!$A:$D,2),"")</f>
        <v/>
      </c>
      <c r="D21" t="str">
        <f>_xlfn.IFNA(VLOOKUP($B21,Atletas!$A:$D,3),"")</f>
        <v/>
      </c>
      <c r="E21" t="str">
        <f>_xlfn.IFNA(VLOOKUP($B21,Atletas!$A:$D,4),"")</f>
        <v/>
      </c>
    </row>
    <row r="22" spans="3:5" x14ac:dyDescent="0.25">
      <c r="C22" t="str">
        <f>_xlfn.IFNA(VLOOKUP($B22,Atletas!$A:$D,2),"")</f>
        <v/>
      </c>
      <c r="D22" t="str">
        <f>_xlfn.IFNA(VLOOKUP($B22,Atletas!$A:$D,3),"")</f>
        <v/>
      </c>
      <c r="E22" t="str">
        <f>_xlfn.IFNA(VLOOKUP($B22,Atletas!$A:$D,4),"")</f>
        <v/>
      </c>
    </row>
    <row r="23" spans="3:5" x14ac:dyDescent="0.25">
      <c r="C23" t="str">
        <f>_xlfn.IFNA(VLOOKUP($B23,Atletas!$A:$D,2),"")</f>
        <v/>
      </c>
      <c r="D23" t="str">
        <f>_xlfn.IFNA(VLOOKUP($B23,Atletas!$A:$D,3),"")</f>
        <v/>
      </c>
      <c r="E23" t="str">
        <f>_xlfn.IFNA(VLOOKUP($B23,Atletas!$A:$D,4),"")</f>
        <v/>
      </c>
    </row>
    <row r="24" spans="3:5" x14ac:dyDescent="0.25">
      <c r="C24" t="str">
        <f>_xlfn.IFNA(VLOOKUP($B24,Atletas!$A:$D,2),"")</f>
        <v/>
      </c>
      <c r="D24" t="str">
        <f>_xlfn.IFNA(VLOOKUP($B24,Atletas!$A:$D,3),"")</f>
        <v/>
      </c>
      <c r="E24" t="str">
        <f>_xlfn.IFNA(VLOOKUP($B24,Atletas!$A:$D,4),"")</f>
        <v/>
      </c>
    </row>
    <row r="25" spans="3:5" x14ac:dyDescent="0.25">
      <c r="C25" t="str">
        <f>_xlfn.IFNA(VLOOKUP($B25,Atletas!$A:$D,2),"")</f>
        <v/>
      </c>
      <c r="D25" t="str">
        <f>_xlfn.IFNA(VLOOKUP($B25,Atletas!$A:$D,3),"")</f>
        <v/>
      </c>
      <c r="E25" t="str">
        <f>_xlfn.IFNA(VLOOKUP($B25,Atletas!$A:$D,4),"")</f>
        <v/>
      </c>
    </row>
    <row r="26" spans="3:5" x14ac:dyDescent="0.25">
      <c r="C26" t="str">
        <f>_xlfn.IFNA(VLOOKUP($B26,Atletas!$A:$D,2),"")</f>
        <v/>
      </c>
      <c r="D26" t="str">
        <f>_xlfn.IFNA(VLOOKUP($B26,Atletas!$A:$D,3),"")</f>
        <v/>
      </c>
      <c r="E26" t="str">
        <f>_xlfn.IFNA(VLOOKUP($B26,Atletas!$A:$D,4),"")</f>
        <v/>
      </c>
    </row>
    <row r="27" spans="3:5" x14ac:dyDescent="0.25">
      <c r="C27" t="str">
        <f>_xlfn.IFNA(VLOOKUP($B27,Atletas!$A:$D,2),"")</f>
        <v/>
      </c>
      <c r="D27" t="str">
        <f>_xlfn.IFNA(VLOOKUP($B27,Atletas!$A:$D,3),"")</f>
        <v/>
      </c>
      <c r="E27" t="str">
        <f>_xlfn.IFNA(VLOOKUP($B27,Atletas!$A:$D,4),"")</f>
        <v/>
      </c>
    </row>
    <row r="28" spans="3:5" x14ac:dyDescent="0.25">
      <c r="C28" t="str">
        <f>_xlfn.IFNA(VLOOKUP($B28,Atletas!$A:$D,2),"")</f>
        <v/>
      </c>
      <c r="D28" t="str">
        <f>_xlfn.IFNA(VLOOKUP($B28,Atletas!$A:$D,3),"")</f>
        <v/>
      </c>
      <c r="E28" t="str">
        <f>_xlfn.IFNA(VLOOKUP($B28,Atletas!$A:$D,4),"")</f>
        <v/>
      </c>
    </row>
    <row r="29" spans="3:5" x14ac:dyDescent="0.25">
      <c r="C29" t="str">
        <f>_xlfn.IFNA(VLOOKUP($B29,Atletas!$A:$D,2),"")</f>
        <v/>
      </c>
      <c r="D29" t="str">
        <f>_xlfn.IFNA(VLOOKUP($B29,Atletas!$A:$D,3),"")</f>
        <v/>
      </c>
      <c r="E29" t="str">
        <f>_xlfn.IFNA(VLOOKUP($B29,Atletas!$A:$D,4),"")</f>
        <v/>
      </c>
    </row>
    <row r="30" spans="3:5" x14ac:dyDescent="0.25">
      <c r="C30" t="str">
        <f>_xlfn.IFNA(VLOOKUP($B30,Atletas!$A:$D,2),"")</f>
        <v/>
      </c>
      <c r="D30" t="str">
        <f>_xlfn.IFNA(VLOOKUP($B30,Atletas!$A:$D,3),"")</f>
        <v/>
      </c>
      <c r="E30" t="str">
        <f>_xlfn.IFNA(VLOOKUP($B30,Atletas!$A:$D,4),"")</f>
        <v/>
      </c>
    </row>
    <row r="31" spans="3:5" x14ac:dyDescent="0.25">
      <c r="C31" t="str">
        <f>_xlfn.IFNA(VLOOKUP($B31,Atletas!$A:$D,2),"")</f>
        <v/>
      </c>
      <c r="D31" t="str">
        <f>_xlfn.IFNA(VLOOKUP($B31,Atletas!$A:$D,3),"")</f>
        <v/>
      </c>
      <c r="E31" t="str">
        <f>_xlfn.IFNA(VLOOKUP($B31,Atletas!$A:$D,4),"")</f>
        <v/>
      </c>
    </row>
    <row r="32" spans="3:5" x14ac:dyDescent="0.25">
      <c r="C32" t="str">
        <f>_xlfn.IFNA(VLOOKUP($B32,Atletas!$A:$D,2),"")</f>
        <v/>
      </c>
      <c r="D32" t="str">
        <f>_xlfn.IFNA(VLOOKUP($B32,Atletas!$A:$D,3),"")</f>
        <v/>
      </c>
      <c r="E32" t="str">
        <f>_xlfn.IFNA(VLOOKUP($B32,Atletas!$A:$D,4),"")</f>
        <v/>
      </c>
    </row>
    <row r="33" spans="3:5" x14ac:dyDescent="0.25">
      <c r="C33" t="str">
        <f>_xlfn.IFNA(VLOOKUP($B33,Atletas!$A:$D,2),"")</f>
        <v/>
      </c>
      <c r="D33" t="str">
        <f>_xlfn.IFNA(VLOOKUP($B33,Atletas!$A:$D,3),"")</f>
        <v/>
      </c>
      <c r="E33" t="str">
        <f>_xlfn.IFNA(VLOOKUP($B33,Atletas!$A:$D,4),"")</f>
        <v/>
      </c>
    </row>
    <row r="34" spans="3:5" x14ac:dyDescent="0.25">
      <c r="C34" t="str">
        <f>_xlfn.IFNA(VLOOKUP($B34,Atletas!$A:$D,2),"")</f>
        <v/>
      </c>
      <c r="D34" t="str">
        <f>_xlfn.IFNA(VLOOKUP($B34,Atletas!$A:$D,3),"")</f>
        <v/>
      </c>
      <c r="E34" t="str">
        <f>_xlfn.IFNA(VLOOKUP($B34,Atletas!$A:$D,4),"")</f>
        <v/>
      </c>
    </row>
    <row r="35" spans="3:5" x14ac:dyDescent="0.25">
      <c r="C35" t="str">
        <f>_xlfn.IFNA(VLOOKUP($B35,Atletas!$A:$D,2),"")</f>
        <v/>
      </c>
      <c r="D35" t="str">
        <f>_xlfn.IFNA(VLOOKUP($B35,Atletas!$A:$D,3),"")</f>
        <v/>
      </c>
      <c r="E35" t="str">
        <f>_xlfn.IFNA(VLOOKUP($B35,Atletas!$A:$D,4),"")</f>
        <v/>
      </c>
    </row>
    <row r="36" spans="3:5" x14ac:dyDescent="0.25">
      <c r="C36" t="str">
        <f>_xlfn.IFNA(VLOOKUP($B36,Atletas!$A:$D,2),"")</f>
        <v/>
      </c>
      <c r="D36" t="str">
        <f>_xlfn.IFNA(VLOOKUP($B36,Atletas!$A:$D,3),"")</f>
        <v/>
      </c>
      <c r="E36" t="str">
        <f>_xlfn.IFNA(VLOOKUP($B36,Atletas!$A:$D,4),"")</f>
        <v/>
      </c>
    </row>
    <row r="37" spans="3:5" x14ac:dyDescent="0.25">
      <c r="C37" t="str">
        <f>_xlfn.IFNA(VLOOKUP($B37,Atletas!$A:$D,2),"")</f>
        <v/>
      </c>
      <c r="D37" t="str">
        <f>_xlfn.IFNA(VLOOKUP($B37,Atletas!$A:$D,3),"")</f>
        <v/>
      </c>
      <c r="E37" t="str">
        <f>_xlfn.IFNA(VLOOKUP($B37,Atletas!$A:$D,4),"")</f>
        <v/>
      </c>
    </row>
    <row r="38" spans="3:5" x14ac:dyDescent="0.25">
      <c r="C38" t="str">
        <f>_xlfn.IFNA(VLOOKUP($B38,Atletas!$A:$D,2),"")</f>
        <v/>
      </c>
      <c r="D38" t="str">
        <f>_xlfn.IFNA(VLOOKUP($B38,Atletas!$A:$D,3),"")</f>
        <v/>
      </c>
      <c r="E38" t="str">
        <f>_xlfn.IFNA(VLOOKUP($B38,Atletas!$A:$D,4),"")</f>
        <v/>
      </c>
    </row>
    <row r="39" spans="3:5" x14ac:dyDescent="0.25">
      <c r="C39" t="str">
        <f>_xlfn.IFNA(VLOOKUP($B39,Atletas!$A:$D,2),"")</f>
        <v/>
      </c>
      <c r="D39" t="str">
        <f>_xlfn.IFNA(VLOOKUP($B39,Atletas!$A:$D,3),"")</f>
        <v/>
      </c>
      <c r="E39" t="str">
        <f>_xlfn.IFNA(VLOOKUP($B39,Atletas!$A:$D,4),"")</f>
        <v/>
      </c>
    </row>
    <row r="40" spans="3:5" x14ac:dyDescent="0.25">
      <c r="C40" t="str">
        <f>_xlfn.IFNA(VLOOKUP($B40,Atletas!$A:$D,2),"")</f>
        <v/>
      </c>
      <c r="D40" t="str">
        <f>_xlfn.IFNA(VLOOKUP($B40,Atletas!$A:$D,3),"")</f>
        <v/>
      </c>
      <c r="E40" t="str">
        <f>_xlfn.IFNA(VLOOKUP($B40,Atletas!$A:$D,4),"")</f>
        <v/>
      </c>
    </row>
    <row r="41" spans="3:5" x14ac:dyDescent="0.25">
      <c r="C41" t="str">
        <f>_xlfn.IFNA(VLOOKUP($B41,Atletas!$A:$D,2),"")</f>
        <v/>
      </c>
      <c r="D41" t="str">
        <f>_xlfn.IFNA(VLOOKUP($B41,Atletas!$A:$D,3),"")</f>
        <v/>
      </c>
      <c r="E41" t="str">
        <f>_xlfn.IFNA(VLOOKUP($B41,Atletas!$A:$D,4),"")</f>
        <v/>
      </c>
    </row>
    <row r="42" spans="3:5" x14ac:dyDescent="0.25">
      <c r="C42" t="str">
        <f>_xlfn.IFNA(VLOOKUP($B42,Atletas!$A:$D,2),"")</f>
        <v/>
      </c>
      <c r="D42" t="str">
        <f>_xlfn.IFNA(VLOOKUP($B42,Atletas!$A:$D,3),"")</f>
        <v/>
      </c>
      <c r="E42" t="str">
        <f>_xlfn.IFNA(VLOOKUP($B42,Atletas!$A:$D,4),"")</f>
        <v/>
      </c>
    </row>
    <row r="43" spans="3:5" x14ac:dyDescent="0.25">
      <c r="C43" t="str">
        <f>_xlfn.IFNA(VLOOKUP($B43,Atletas!$A:$D,2),"")</f>
        <v/>
      </c>
      <c r="D43" t="str">
        <f>_xlfn.IFNA(VLOOKUP($B43,Atletas!$A:$D,3),"")</f>
        <v/>
      </c>
      <c r="E43" t="str">
        <f>_xlfn.IFNA(VLOOKUP($B43,Atletas!$A:$D,4),"")</f>
        <v/>
      </c>
    </row>
    <row r="44" spans="3:5" x14ac:dyDescent="0.25">
      <c r="C44" t="str">
        <f>_xlfn.IFNA(VLOOKUP($B44,Atletas!$A:$D,2),"")</f>
        <v/>
      </c>
      <c r="D44" t="str">
        <f>_xlfn.IFNA(VLOOKUP($B44,Atletas!$A:$D,3),"")</f>
        <v/>
      </c>
      <c r="E44" t="str">
        <f>_xlfn.IFNA(VLOOKUP($B44,Atletas!$A:$D,4),"")</f>
        <v/>
      </c>
    </row>
    <row r="45" spans="3:5" x14ac:dyDescent="0.25">
      <c r="C45" t="str">
        <f>_xlfn.IFNA(VLOOKUP($B45,Atletas!$A:$D,2),"")</f>
        <v/>
      </c>
      <c r="D45" t="str">
        <f>_xlfn.IFNA(VLOOKUP($B45,Atletas!$A:$D,3),"")</f>
        <v/>
      </c>
      <c r="E45" t="str">
        <f>_xlfn.IFNA(VLOOKUP($B45,Atletas!$A:$D,4),"")</f>
        <v/>
      </c>
    </row>
    <row r="46" spans="3:5" x14ac:dyDescent="0.25">
      <c r="C46" t="str">
        <f>_xlfn.IFNA(VLOOKUP($B46,Atletas!$A:$D,2),"")</f>
        <v/>
      </c>
      <c r="D46" t="str">
        <f>_xlfn.IFNA(VLOOKUP($B46,Atletas!$A:$D,3),"")</f>
        <v/>
      </c>
      <c r="E46" t="str">
        <f>_xlfn.IFNA(VLOOKUP($B46,Atletas!$A:$D,4),"")</f>
        <v/>
      </c>
    </row>
    <row r="47" spans="3:5" x14ac:dyDescent="0.25">
      <c r="C47" t="str">
        <f>_xlfn.IFNA(VLOOKUP($B47,Atletas!$A:$D,2),"")</f>
        <v/>
      </c>
      <c r="D47" t="str">
        <f>_xlfn.IFNA(VLOOKUP($B47,Atletas!$A:$D,3),"")</f>
        <v/>
      </c>
      <c r="E47" t="str">
        <f>_xlfn.IFNA(VLOOKUP($B47,Atletas!$A:$D,4),"")</f>
        <v/>
      </c>
    </row>
    <row r="48" spans="3:5" x14ac:dyDescent="0.25">
      <c r="C48" t="str">
        <f>_xlfn.IFNA(VLOOKUP($B48,Atletas!$A:$D,2),"")</f>
        <v/>
      </c>
      <c r="D48" t="str">
        <f>_xlfn.IFNA(VLOOKUP($B48,Atletas!$A:$D,3),"")</f>
        <v/>
      </c>
      <c r="E48" t="str">
        <f>_xlfn.IFNA(VLOOKUP($B48,Atletas!$A:$D,4),"")</f>
        <v/>
      </c>
    </row>
    <row r="49" spans="3:5" x14ac:dyDescent="0.25">
      <c r="C49" t="str">
        <f>_xlfn.IFNA(VLOOKUP($B49,Atletas!$A:$D,2),"")</f>
        <v/>
      </c>
      <c r="D49" t="str">
        <f>_xlfn.IFNA(VLOOKUP($B49,Atletas!$A:$D,3),"")</f>
        <v/>
      </c>
      <c r="E49" t="str">
        <f>_xlfn.IFNA(VLOOKUP($B49,Atletas!$A:$D,4),"")</f>
        <v/>
      </c>
    </row>
    <row r="50" spans="3:5" x14ac:dyDescent="0.25">
      <c r="C50" t="str">
        <f>_xlfn.IFNA(VLOOKUP($B50,Atletas!$A:$D,2),"")</f>
        <v/>
      </c>
      <c r="D50" t="str">
        <f>_xlfn.IFNA(VLOOKUP($B50,Atletas!$A:$D,3),"")</f>
        <v/>
      </c>
      <c r="E50" t="str">
        <f>_xlfn.IFNA(VLOOKUP($B50,Atletas!$A:$D,4),"")</f>
        <v/>
      </c>
    </row>
    <row r="51" spans="3:5" x14ac:dyDescent="0.25">
      <c r="C51" t="str">
        <f>_xlfn.IFNA(VLOOKUP($B51,Atletas!$A:$D,2),"")</f>
        <v/>
      </c>
      <c r="D51" t="str">
        <f>_xlfn.IFNA(VLOOKUP($B51,Atletas!$A:$D,3),"")</f>
        <v/>
      </c>
      <c r="E51" t="str">
        <f>_xlfn.IFNA(VLOOKUP($B51,Atletas!$A:$D,4),"")</f>
        <v/>
      </c>
    </row>
    <row r="52" spans="3:5" x14ac:dyDescent="0.25">
      <c r="C52" t="str">
        <f>_xlfn.IFNA(VLOOKUP($B52,Atletas!$A:$D,2),"")</f>
        <v/>
      </c>
      <c r="D52" t="str">
        <f>_xlfn.IFNA(VLOOKUP($B52,Atletas!$A:$D,3),"")</f>
        <v/>
      </c>
      <c r="E52" t="str">
        <f>_xlfn.IFNA(VLOOKUP($B52,Atletas!$A:$D,4),"")</f>
        <v/>
      </c>
    </row>
    <row r="53" spans="3:5" x14ac:dyDescent="0.25">
      <c r="C53" t="str">
        <f>_xlfn.IFNA(VLOOKUP($B53,Atletas!$A:$D,2),"")</f>
        <v/>
      </c>
      <c r="D53" t="str">
        <f>_xlfn.IFNA(VLOOKUP($B53,Atletas!$A:$D,3),"")</f>
        <v/>
      </c>
      <c r="E53" t="str">
        <f>_xlfn.IFNA(VLOOKUP($B53,Atletas!$A:$D,4),"")</f>
        <v/>
      </c>
    </row>
    <row r="54" spans="3:5" x14ac:dyDescent="0.25">
      <c r="C54" t="str">
        <f>_xlfn.IFNA(VLOOKUP($B54,Atletas!$A:$D,2),"")</f>
        <v/>
      </c>
      <c r="D54" t="str">
        <f>_xlfn.IFNA(VLOOKUP($B54,Atletas!$A:$D,3),"")</f>
        <v/>
      </c>
      <c r="E54" t="str">
        <f>_xlfn.IFNA(VLOOKUP($B54,Atletas!$A:$D,4),"")</f>
        <v/>
      </c>
    </row>
    <row r="55" spans="3:5" x14ac:dyDescent="0.25">
      <c r="C55" t="str">
        <f>_xlfn.IFNA(VLOOKUP($B55,Atletas!$A:$D,2),"")</f>
        <v/>
      </c>
      <c r="D55" t="str">
        <f>_xlfn.IFNA(VLOOKUP($B55,Atletas!$A:$D,3),"")</f>
        <v/>
      </c>
      <c r="E55" t="str">
        <f>_xlfn.IFNA(VLOOKUP($B55,Atletas!$A:$D,4),"")</f>
        <v/>
      </c>
    </row>
    <row r="56" spans="3:5" x14ac:dyDescent="0.25">
      <c r="C56" t="str">
        <f>_xlfn.IFNA(VLOOKUP($B56,Atletas!$A:$D,2),"")</f>
        <v/>
      </c>
      <c r="D56" t="str">
        <f>_xlfn.IFNA(VLOOKUP($B56,Atletas!$A:$D,3),"")</f>
        <v/>
      </c>
      <c r="E56" t="str">
        <f>_xlfn.IFNA(VLOOKUP($B56,Atletas!$A:$D,4),"")</f>
        <v/>
      </c>
    </row>
    <row r="57" spans="3:5" x14ac:dyDescent="0.25">
      <c r="C57" t="str">
        <f>_xlfn.IFNA(VLOOKUP($B57,Atletas!$A:$D,2),"")</f>
        <v/>
      </c>
      <c r="D57" t="str">
        <f>_xlfn.IFNA(VLOOKUP($B57,Atletas!$A:$D,3),"")</f>
        <v/>
      </c>
      <c r="E57" t="str">
        <f>_xlfn.IFNA(VLOOKUP($B57,Atletas!$A:$D,4),"")</f>
        <v/>
      </c>
    </row>
    <row r="58" spans="3:5" x14ac:dyDescent="0.25">
      <c r="C58" t="str">
        <f>_xlfn.IFNA(VLOOKUP($B58,Atletas!$A:$D,2),"")</f>
        <v/>
      </c>
      <c r="D58" t="str">
        <f>_xlfn.IFNA(VLOOKUP($B58,Atletas!$A:$D,3),"")</f>
        <v/>
      </c>
      <c r="E58" t="str">
        <f>_xlfn.IFNA(VLOOKUP($B58,Atletas!$A:$D,4),"")</f>
        <v/>
      </c>
    </row>
    <row r="59" spans="3:5" x14ac:dyDescent="0.25">
      <c r="C59" t="str">
        <f>_xlfn.IFNA(VLOOKUP($B59,Atletas!$A:$D,2),"")</f>
        <v/>
      </c>
      <c r="D59" t="str">
        <f>_xlfn.IFNA(VLOOKUP($B59,Atletas!$A:$D,3),"")</f>
        <v/>
      </c>
      <c r="E59" t="str">
        <f>_xlfn.IFNA(VLOOKUP($B59,Atletas!$A:$D,4),"")</f>
        <v/>
      </c>
    </row>
    <row r="60" spans="3:5" x14ac:dyDescent="0.25">
      <c r="C60" t="str">
        <f>_xlfn.IFNA(VLOOKUP($B60,Atletas!$A:$D,2),"")</f>
        <v/>
      </c>
      <c r="D60" t="str">
        <f>_xlfn.IFNA(VLOOKUP($B60,Atletas!$A:$D,3),"")</f>
        <v/>
      </c>
      <c r="E60" t="str">
        <f>_xlfn.IFNA(VLOOKUP($B60,Atletas!$A:$D,4),"")</f>
        <v/>
      </c>
    </row>
    <row r="61" spans="3:5" x14ac:dyDescent="0.25">
      <c r="C61" t="str">
        <f>_xlfn.IFNA(VLOOKUP($B61,Atletas!$A:$D,2),"")</f>
        <v/>
      </c>
      <c r="D61" t="str">
        <f>_xlfn.IFNA(VLOOKUP($B61,Atletas!$A:$D,3),"")</f>
        <v/>
      </c>
      <c r="E61" t="str">
        <f>_xlfn.IFNA(VLOOKUP($B61,Atletas!$A:$D,4),"")</f>
        <v/>
      </c>
    </row>
    <row r="62" spans="3:5" x14ac:dyDescent="0.25">
      <c r="C62" t="str">
        <f>_xlfn.IFNA(VLOOKUP($B62,Atletas!$A:$D,2),"")</f>
        <v/>
      </c>
      <c r="D62" t="str">
        <f>_xlfn.IFNA(VLOOKUP($B62,Atletas!$A:$D,3),"")</f>
        <v/>
      </c>
      <c r="E62" t="str">
        <f>_xlfn.IFNA(VLOOKUP($B62,Atletas!$A:$D,4),"")</f>
        <v/>
      </c>
    </row>
    <row r="63" spans="3:5" x14ac:dyDescent="0.25">
      <c r="C63" t="str">
        <f>_xlfn.IFNA(VLOOKUP($B63,Atletas!$A:$D,2),"")</f>
        <v/>
      </c>
      <c r="D63" t="str">
        <f>_xlfn.IFNA(VLOOKUP($B63,Atletas!$A:$D,3),"")</f>
        <v/>
      </c>
      <c r="E63" t="str">
        <f>_xlfn.IFNA(VLOOKUP($B63,Atletas!$A:$D,4),"")</f>
        <v/>
      </c>
    </row>
    <row r="64" spans="3:5" x14ac:dyDescent="0.25">
      <c r="C64" t="str">
        <f>_xlfn.IFNA(VLOOKUP($B64,Atletas!$A:$D,2),"")</f>
        <v/>
      </c>
      <c r="D64" t="str">
        <f>_xlfn.IFNA(VLOOKUP($B64,Atletas!$A:$D,3),"")</f>
        <v/>
      </c>
      <c r="E64" t="str">
        <f>_xlfn.IFNA(VLOOKUP($B64,Atletas!$A:$D,4),"")</f>
        <v/>
      </c>
    </row>
    <row r="65" spans="3:5" x14ac:dyDescent="0.25">
      <c r="C65" t="str">
        <f>_xlfn.IFNA(VLOOKUP($B65,Atletas!$A:$D,2),"")</f>
        <v/>
      </c>
      <c r="D65" t="str">
        <f>_xlfn.IFNA(VLOOKUP($B65,Atletas!$A:$D,3),"")</f>
        <v/>
      </c>
      <c r="E65" t="str">
        <f>_xlfn.IFNA(VLOOKUP($B65,Atletas!$A:$D,4),"")</f>
        <v/>
      </c>
    </row>
    <row r="66" spans="3:5" x14ac:dyDescent="0.25">
      <c r="C66" t="str">
        <f>_xlfn.IFNA(VLOOKUP($B66,Atletas!$A:$D,2),"")</f>
        <v/>
      </c>
      <c r="D66" t="str">
        <f>_xlfn.IFNA(VLOOKUP($B66,Atletas!$A:$D,3),"")</f>
        <v/>
      </c>
      <c r="E66" t="str">
        <f>_xlfn.IFNA(VLOOKUP($B66,Atletas!$A:$D,4),"")</f>
        <v/>
      </c>
    </row>
    <row r="67" spans="3:5" x14ac:dyDescent="0.25">
      <c r="C67" t="str">
        <f>_xlfn.IFNA(VLOOKUP($B67,Atletas!$A:$D,2),"")</f>
        <v/>
      </c>
      <c r="D67" t="str">
        <f>_xlfn.IFNA(VLOOKUP($B67,Atletas!$A:$D,3),"")</f>
        <v/>
      </c>
      <c r="E67" t="str">
        <f>_xlfn.IFNA(VLOOKUP($B67,Atletas!$A:$D,4),"")</f>
        <v/>
      </c>
    </row>
    <row r="68" spans="3:5" x14ac:dyDescent="0.25">
      <c r="C68" t="str">
        <f>_xlfn.IFNA(VLOOKUP($B68,Atletas!$A:$D,2),"")</f>
        <v/>
      </c>
      <c r="D68" t="str">
        <f>_xlfn.IFNA(VLOOKUP($B68,Atletas!$A:$D,3),"")</f>
        <v/>
      </c>
      <c r="E68" t="str">
        <f>_xlfn.IFNA(VLOOKUP($B68,Atletas!$A:$D,4),"")</f>
        <v/>
      </c>
    </row>
    <row r="69" spans="3:5" x14ac:dyDescent="0.25">
      <c r="C69" t="str">
        <f>_xlfn.IFNA(VLOOKUP($B69,Atletas!$A:$D,2),"")</f>
        <v/>
      </c>
      <c r="D69" t="str">
        <f>_xlfn.IFNA(VLOOKUP($B69,Atletas!$A:$D,3),"")</f>
        <v/>
      </c>
      <c r="E69" t="str">
        <f>_xlfn.IFNA(VLOOKUP($B69,Atletas!$A:$D,4),"")</f>
        <v/>
      </c>
    </row>
    <row r="70" spans="3:5" x14ac:dyDescent="0.25">
      <c r="C70" t="str">
        <f>_xlfn.IFNA(VLOOKUP($B70,Atletas!$A:$D,2),"")</f>
        <v/>
      </c>
      <c r="D70" t="str">
        <f>_xlfn.IFNA(VLOOKUP($B70,Atletas!$A:$D,3),"")</f>
        <v/>
      </c>
      <c r="E70" t="str">
        <f>_xlfn.IFNA(VLOOKUP($B70,Atletas!$A:$D,4),"")</f>
        <v/>
      </c>
    </row>
    <row r="71" spans="3:5" x14ac:dyDescent="0.25">
      <c r="C71" t="str">
        <f>_xlfn.IFNA(VLOOKUP($B71,Atletas!$A:$D,2),"")</f>
        <v/>
      </c>
      <c r="D71" t="str">
        <f>_xlfn.IFNA(VLOOKUP($B71,Atletas!$A:$D,3),"")</f>
        <v/>
      </c>
      <c r="E71" t="str">
        <f>_xlfn.IFNA(VLOOKUP($B71,Atletas!$A:$D,4),"")</f>
        <v/>
      </c>
    </row>
    <row r="72" spans="3:5" x14ac:dyDescent="0.25">
      <c r="C72" t="str">
        <f>_xlfn.IFNA(VLOOKUP($B72,Atletas!$A:$D,2),"")</f>
        <v/>
      </c>
      <c r="D72" t="str">
        <f>_xlfn.IFNA(VLOOKUP($B72,Atletas!$A:$D,3),"")</f>
        <v/>
      </c>
      <c r="E72" t="str">
        <f>_xlfn.IFNA(VLOOKUP($B72,Atletas!$A:$D,4),"")</f>
        <v/>
      </c>
    </row>
    <row r="73" spans="3:5" x14ac:dyDescent="0.25">
      <c r="C73" t="str">
        <f>_xlfn.IFNA(VLOOKUP($B73,Atletas!$A:$D,2),"")</f>
        <v/>
      </c>
      <c r="D73" t="str">
        <f>_xlfn.IFNA(VLOOKUP($B73,Atletas!$A:$D,3),"")</f>
        <v/>
      </c>
      <c r="E73" t="str">
        <f>_xlfn.IFNA(VLOOKUP($B73,Atletas!$A:$D,4),"")</f>
        <v/>
      </c>
    </row>
    <row r="74" spans="3:5" x14ac:dyDescent="0.25">
      <c r="C74" t="str">
        <f>_xlfn.IFNA(VLOOKUP($B74,Atletas!$A:$D,2),"")</f>
        <v/>
      </c>
      <c r="D74" t="str">
        <f>_xlfn.IFNA(VLOOKUP($B74,Atletas!$A:$D,3),"")</f>
        <v/>
      </c>
      <c r="E74" t="str">
        <f>_xlfn.IFNA(VLOOKUP($B74,Atletas!$A:$D,4),"")</f>
        <v/>
      </c>
    </row>
    <row r="75" spans="3:5" x14ac:dyDescent="0.25">
      <c r="C75" t="str">
        <f>_xlfn.IFNA(VLOOKUP($B75,Atletas!$A:$D,2),"")</f>
        <v/>
      </c>
      <c r="D75" t="str">
        <f>_xlfn.IFNA(VLOOKUP($B75,Atletas!$A:$D,3),"")</f>
        <v/>
      </c>
      <c r="E75" t="str">
        <f>_xlfn.IFNA(VLOOKUP($B75,Atletas!$A:$D,4),"")</f>
        <v/>
      </c>
    </row>
    <row r="76" spans="3:5" x14ac:dyDescent="0.25">
      <c r="C76" t="str">
        <f>_xlfn.IFNA(VLOOKUP($B76,Atletas!$A:$D,2),"")</f>
        <v/>
      </c>
      <c r="D76" t="str">
        <f>_xlfn.IFNA(VLOOKUP($B76,Atletas!$A:$D,3),"")</f>
        <v/>
      </c>
      <c r="E76" t="str">
        <f>_xlfn.IFNA(VLOOKUP($B76,Atletas!$A:$D,4),"")</f>
        <v/>
      </c>
    </row>
    <row r="77" spans="3:5" x14ac:dyDescent="0.25">
      <c r="C77" t="str">
        <f>_xlfn.IFNA(VLOOKUP($B77,Atletas!$A:$D,2),"")</f>
        <v/>
      </c>
      <c r="D77" t="str">
        <f>_xlfn.IFNA(VLOOKUP($B77,Atletas!$A:$D,3),"")</f>
        <v/>
      </c>
      <c r="E77" t="str">
        <f>_xlfn.IFNA(VLOOKUP($B77,Atletas!$A:$D,4),"")</f>
        <v/>
      </c>
    </row>
    <row r="78" spans="3:5" x14ac:dyDescent="0.25">
      <c r="C78" t="str">
        <f>_xlfn.IFNA(VLOOKUP($B78,Atletas!$A:$D,2),"")</f>
        <v/>
      </c>
      <c r="D78" t="str">
        <f>_xlfn.IFNA(VLOOKUP($B78,Atletas!$A:$D,3),"")</f>
        <v/>
      </c>
      <c r="E78" t="str">
        <f>_xlfn.IFNA(VLOOKUP($B78,Atletas!$A:$D,4),"")</f>
        <v/>
      </c>
    </row>
    <row r="79" spans="3:5" x14ac:dyDescent="0.25">
      <c r="C79" t="str">
        <f>_xlfn.IFNA(VLOOKUP($B79,Atletas!$A:$D,2),"")</f>
        <v/>
      </c>
      <c r="D79" t="str">
        <f>_xlfn.IFNA(VLOOKUP($B79,Atletas!$A:$D,3),"")</f>
        <v/>
      </c>
      <c r="E79" t="str">
        <f>_xlfn.IFNA(VLOOKUP($B79,Atletas!$A:$D,4),"")</f>
        <v/>
      </c>
    </row>
    <row r="80" spans="3:5" x14ac:dyDescent="0.25">
      <c r="C80" t="str">
        <f>_xlfn.IFNA(VLOOKUP($B80,Atletas!$A:$D,2),"")</f>
        <v/>
      </c>
      <c r="D80" t="str">
        <f>_xlfn.IFNA(VLOOKUP($B80,Atletas!$A:$D,3),"")</f>
        <v/>
      </c>
      <c r="E80" t="str">
        <f>_xlfn.IFNA(VLOOKUP($B80,Atletas!$A:$D,4),"")</f>
        <v/>
      </c>
    </row>
    <row r="81" spans="3:5" x14ac:dyDescent="0.25">
      <c r="C81" t="str">
        <f>_xlfn.IFNA(VLOOKUP($B81,Atletas!$A:$D,2),"")</f>
        <v/>
      </c>
      <c r="D81" t="str">
        <f>_xlfn.IFNA(VLOOKUP($B81,Atletas!$A:$D,3),"")</f>
        <v/>
      </c>
      <c r="E81" t="str">
        <f>_xlfn.IFNA(VLOOKUP($B81,Atletas!$A:$D,4),"")</f>
        <v/>
      </c>
    </row>
    <row r="82" spans="3:5" x14ac:dyDescent="0.25">
      <c r="C82" t="str">
        <f>_xlfn.IFNA(VLOOKUP($B82,Atletas!$A:$D,2),"")</f>
        <v/>
      </c>
      <c r="D82" t="str">
        <f>_xlfn.IFNA(VLOOKUP($B82,Atletas!$A:$D,3),"")</f>
        <v/>
      </c>
      <c r="E82" t="str">
        <f>_xlfn.IFNA(VLOOKUP($B82,Atletas!$A:$D,4),"")</f>
        <v/>
      </c>
    </row>
    <row r="83" spans="3:5" x14ac:dyDescent="0.25">
      <c r="C83" t="str">
        <f>_xlfn.IFNA(VLOOKUP($B83,Atletas!$A:$D,2),"")</f>
        <v/>
      </c>
      <c r="D83" t="str">
        <f>_xlfn.IFNA(VLOOKUP($B83,Atletas!$A:$D,3),"")</f>
        <v/>
      </c>
      <c r="E83" t="str">
        <f>_xlfn.IFNA(VLOOKUP($B83,Atletas!$A:$D,4),"")</f>
        <v/>
      </c>
    </row>
    <row r="84" spans="3:5" x14ac:dyDescent="0.25">
      <c r="C84" t="str">
        <f>_xlfn.IFNA(VLOOKUP($B84,Atletas!$A:$D,2),"")</f>
        <v/>
      </c>
      <c r="D84" t="str">
        <f>_xlfn.IFNA(VLOOKUP($B84,Atletas!$A:$D,3),"")</f>
        <v/>
      </c>
      <c r="E84" t="str">
        <f>_xlfn.IFNA(VLOOKUP($B84,Atletas!$A:$D,4),"")</f>
        <v/>
      </c>
    </row>
    <row r="85" spans="3:5" x14ac:dyDescent="0.25">
      <c r="C85" t="str">
        <f>_xlfn.IFNA(VLOOKUP($B85,Atletas!$A:$D,2),"")</f>
        <v/>
      </c>
      <c r="D85" t="str">
        <f>_xlfn.IFNA(VLOOKUP($B85,Atletas!$A:$D,3),"")</f>
        <v/>
      </c>
      <c r="E85" t="str">
        <f>_xlfn.IFNA(VLOOKUP($B85,Atletas!$A:$D,4),"")</f>
        <v/>
      </c>
    </row>
    <row r="86" spans="3:5" x14ac:dyDescent="0.25">
      <c r="C86" t="str">
        <f>_xlfn.IFNA(VLOOKUP($B86,Atletas!$A:$D,2),"")</f>
        <v/>
      </c>
      <c r="D86" t="str">
        <f>_xlfn.IFNA(VLOOKUP($B86,Atletas!$A:$D,3),"")</f>
        <v/>
      </c>
      <c r="E86" t="str">
        <f>_xlfn.IFNA(VLOOKUP($B86,Atletas!$A:$D,4),"")</f>
        <v/>
      </c>
    </row>
    <row r="87" spans="3:5" x14ac:dyDescent="0.25">
      <c r="C87" t="str">
        <f>_xlfn.IFNA(VLOOKUP($B87,Atletas!$A:$D,2),"")</f>
        <v/>
      </c>
      <c r="D87" t="str">
        <f>_xlfn.IFNA(VLOOKUP($B87,Atletas!$A:$D,3),"")</f>
        <v/>
      </c>
      <c r="E87" t="str">
        <f>_xlfn.IFNA(VLOOKUP($B87,Atletas!$A:$D,4),"")</f>
        <v/>
      </c>
    </row>
    <row r="88" spans="3:5" x14ac:dyDescent="0.25">
      <c r="C88" t="str">
        <f>_xlfn.IFNA(VLOOKUP($B88,Atletas!$A:$D,2),"")</f>
        <v/>
      </c>
      <c r="D88" t="str">
        <f>_xlfn.IFNA(VLOOKUP($B88,Atletas!$A:$D,3),"")</f>
        <v/>
      </c>
      <c r="E88" t="str">
        <f>_xlfn.IFNA(VLOOKUP($B88,Atletas!$A:$D,4),"")</f>
        <v/>
      </c>
    </row>
    <row r="89" spans="3:5" x14ac:dyDescent="0.25">
      <c r="C89" t="str">
        <f>_xlfn.IFNA(VLOOKUP($B89,Atletas!$A:$D,2),"")</f>
        <v/>
      </c>
      <c r="D89" t="str">
        <f>_xlfn.IFNA(VLOOKUP($B89,Atletas!$A:$D,3),"")</f>
        <v/>
      </c>
      <c r="E89" t="str">
        <f>_xlfn.IFNA(VLOOKUP($B89,Atletas!$A:$D,4),"")</f>
        <v/>
      </c>
    </row>
    <row r="90" spans="3:5" x14ac:dyDescent="0.25">
      <c r="C90" t="str">
        <f>_xlfn.IFNA(VLOOKUP($B90,Atletas!$A:$D,2),"")</f>
        <v/>
      </c>
      <c r="D90" t="str">
        <f>_xlfn.IFNA(VLOOKUP($B90,Atletas!$A:$D,3),"")</f>
        <v/>
      </c>
      <c r="E90" t="str">
        <f>_xlfn.IFNA(VLOOKUP($B90,Atletas!$A:$D,4),"")</f>
        <v/>
      </c>
    </row>
    <row r="91" spans="3:5" x14ac:dyDescent="0.25">
      <c r="C91" t="str">
        <f>_xlfn.IFNA(VLOOKUP($B91,Atletas!$A:$D,2),"")</f>
        <v/>
      </c>
      <c r="D91" t="str">
        <f>_xlfn.IFNA(VLOOKUP($B91,Atletas!$A:$D,3),"")</f>
        <v/>
      </c>
      <c r="E91" t="str">
        <f>_xlfn.IFNA(VLOOKUP($B91,Atletas!$A:$D,4),"")</f>
        <v/>
      </c>
    </row>
    <row r="92" spans="3:5" x14ac:dyDescent="0.25">
      <c r="C92" t="str">
        <f>_xlfn.IFNA(VLOOKUP($B92,Atletas!$A:$D,2),"")</f>
        <v/>
      </c>
      <c r="D92" t="str">
        <f>_xlfn.IFNA(VLOOKUP($B92,Atletas!$A:$D,3),"")</f>
        <v/>
      </c>
      <c r="E92" t="str">
        <f>_xlfn.IFNA(VLOOKUP($B92,Atletas!$A:$D,4),"")</f>
        <v/>
      </c>
    </row>
    <row r="93" spans="3:5" x14ac:dyDescent="0.25">
      <c r="C93" t="str">
        <f>_xlfn.IFNA(VLOOKUP($B93,Atletas!$A:$D,2),"")</f>
        <v/>
      </c>
      <c r="D93" t="str">
        <f>_xlfn.IFNA(VLOOKUP($B93,Atletas!$A:$D,3),"")</f>
        <v/>
      </c>
      <c r="E93" t="str">
        <f>_xlfn.IFNA(VLOOKUP($B93,Atletas!$A:$D,4),"")</f>
        <v/>
      </c>
    </row>
    <row r="94" spans="3:5" x14ac:dyDescent="0.25">
      <c r="C94" t="str">
        <f>_xlfn.IFNA(VLOOKUP($B94,Atletas!$A:$D,2),"")</f>
        <v/>
      </c>
      <c r="D94" t="str">
        <f>_xlfn.IFNA(VLOOKUP($B94,Atletas!$A:$D,3),"")</f>
        <v/>
      </c>
      <c r="E94" t="str">
        <f>_xlfn.IFNA(VLOOKUP($B94,Atletas!$A:$D,4),"")</f>
        <v/>
      </c>
    </row>
    <row r="95" spans="3:5" x14ac:dyDescent="0.25">
      <c r="C95" t="str">
        <f>_xlfn.IFNA(VLOOKUP($B95,Atletas!$A:$D,2),"")</f>
        <v/>
      </c>
      <c r="D95" t="str">
        <f>_xlfn.IFNA(VLOOKUP($B95,Atletas!$A:$D,3),"")</f>
        <v/>
      </c>
      <c r="E95" t="str">
        <f>_xlfn.IFNA(VLOOKUP($B95,Atletas!$A:$D,4),"")</f>
        <v/>
      </c>
    </row>
    <row r="96" spans="3:5" x14ac:dyDescent="0.25">
      <c r="C96" t="str">
        <f>_xlfn.IFNA(VLOOKUP($B96,Atletas!$A:$D,2),"")</f>
        <v/>
      </c>
      <c r="D96" t="str">
        <f>_xlfn.IFNA(VLOOKUP($B96,Atletas!$A:$D,3),"")</f>
        <v/>
      </c>
      <c r="E96" t="str">
        <f>_xlfn.IFNA(VLOOKUP($B96,Atletas!$A:$D,4),"")</f>
        <v/>
      </c>
    </row>
    <row r="97" spans="3:5" x14ac:dyDescent="0.25">
      <c r="C97" t="str">
        <f>_xlfn.IFNA(VLOOKUP($B97,Atletas!$A:$D,2),"")</f>
        <v/>
      </c>
      <c r="D97" t="str">
        <f>_xlfn.IFNA(VLOOKUP($B97,Atletas!$A:$D,3),"")</f>
        <v/>
      </c>
      <c r="E97" t="str">
        <f>_xlfn.IFNA(VLOOKUP($B97,Atletas!$A:$D,4),"")</f>
        <v/>
      </c>
    </row>
    <row r="98" spans="3:5" x14ac:dyDescent="0.25">
      <c r="C98" t="str">
        <f>_xlfn.IFNA(VLOOKUP($B98,Atletas!$A:$D,2),"")</f>
        <v/>
      </c>
      <c r="D98" t="str">
        <f>_xlfn.IFNA(VLOOKUP($B98,Atletas!$A:$D,3),"")</f>
        <v/>
      </c>
      <c r="E98" t="str">
        <f>_xlfn.IFNA(VLOOKUP($B98,Atletas!$A:$D,4),"")</f>
        <v/>
      </c>
    </row>
    <row r="99" spans="3:5" x14ac:dyDescent="0.25">
      <c r="C99" t="str">
        <f>_xlfn.IFNA(VLOOKUP($B99,Atletas!$A:$D,2),"")</f>
        <v/>
      </c>
      <c r="D99" t="str">
        <f>_xlfn.IFNA(VLOOKUP($B99,Atletas!$A:$D,3),"")</f>
        <v/>
      </c>
      <c r="E99" t="str">
        <f>_xlfn.IFNA(VLOOKUP($B99,Atletas!$A:$D,4),"")</f>
        <v/>
      </c>
    </row>
    <row r="100" spans="3:5" x14ac:dyDescent="0.25">
      <c r="C100" t="str">
        <f>_xlfn.IFNA(VLOOKUP($B100,Atletas!$A:$D,2),"")</f>
        <v/>
      </c>
      <c r="D100" t="str">
        <f>_xlfn.IFNA(VLOOKUP($B100,Atletas!$A:$D,3),"")</f>
        <v/>
      </c>
      <c r="E100" t="str">
        <f>_xlfn.IFNA(VLOOKUP($B100,Atletas!$A:$D,4),"")</f>
        <v/>
      </c>
    </row>
    <row r="101" spans="3:5" x14ac:dyDescent="0.25">
      <c r="C101" t="str">
        <f>_xlfn.IFNA(VLOOKUP($B101,Atletas!$A:$D,2),"")</f>
        <v/>
      </c>
      <c r="D101" t="str">
        <f>_xlfn.IFNA(VLOOKUP($B101,Atletas!$A:$D,3),"")</f>
        <v/>
      </c>
      <c r="E101" t="str">
        <f>_xlfn.IFNA(VLOOKUP($B101,Atletas!$A:$D,4),"")</f>
        <v/>
      </c>
    </row>
    <row r="102" spans="3:5" x14ac:dyDescent="0.25">
      <c r="C102" t="str">
        <f>_xlfn.IFNA(VLOOKUP($B102,Atletas!$A:$D,2),"")</f>
        <v/>
      </c>
      <c r="D102" t="str">
        <f>_xlfn.IFNA(VLOOKUP($B102,Atletas!$A:$D,3),"")</f>
        <v/>
      </c>
      <c r="E102" t="str">
        <f>_xlfn.IFNA(VLOOKUP($B102,Atletas!$A:$D,4),"")</f>
        <v/>
      </c>
    </row>
    <row r="103" spans="3:5" x14ac:dyDescent="0.25">
      <c r="C103" t="str">
        <f>_xlfn.IFNA(VLOOKUP($B103,Atletas!$A:$D,2),"")</f>
        <v/>
      </c>
      <c r="D103" t="str">
        <f>_xlfn.IFNA(VLOOKUP($B103,Atletas!$A:$D,3),"")</f>
        <v/>
      </c>
      <c r="E103" t="str">
        <f>_xlfn.IFNA(VLOOKUP($B103,Atletas!$A:$D,4),"")</f>
        <v/>
      </c>
    </row>
    <row r="104" spans="3:5" x14ac:dyDescent="0.25">
      <c r="C104" t="str">
        <f>_xlfn.IFNA(VLOOKUP($B104,Atletas!$A:$D,2),"")</f>
        <v/>
      </c>
      <c r="D104" t="str">
        <f>_xlfn.IFNA(VLOOKUP($B104,Atletas!$A:$D,3),"")</f>
        <v/>
      </c>
      <c r="E104" t="str">
        <f>_xlfn.IFNA(VLOOKUP($B104,Atletas!$A:$D,4),"")</f>
        <v/>
      </c>
    </row>
    <row r="105" spans="3:5" x14ac:dyDescent="0.25">
      <c r="C105" t="str">
        <f>_xlfn.IFNA(VLOOKUP($B105,Atletas!$A:$D,2),"")</f>
        <v/>
      </c>
      <c r="D105" t="str">
        <f>_xlfn.IFNA(VLOOKUP($B105,Atletas!$A:$D,3),"")</f>
        <v/>
      </c>
      <c r="E105" t="str">
        <f>_xlfn.IFNA(VLOOKUP($B105,Atletas!$A:$D,4),"")</f>
        <v/>
      </c>
    </row>
    <row r="106" spans="3:5" x14ac:dyDescent="0.25">
      <c r="C106" t="str">
        <f>_xlfn.IFNA(VLOOKUP($B106,Atletas!$A:$D,2),"")</f>
        <v/>
      </c>
      <c r="D106" t="str">
        <f>_xlfn.IFNA(VLOOKUP($B106,Atletas!$A:$D,3),"")</f>
        <v/>
      </c>
      <c r="E106" t="str">
        <f>_xlfn.IFNA(VLOOKUP($B106,Atletas!$A:$D,4),"")</f>
        <v/>
      </c>
    </row>
    <row r="107" spans="3:5" x14ac:dyDescent="0.25">
      <c r="C107" t="str">
        <f>_xlfn.IFNA(VLOOKUP($B107,Atletas!$A:$D,2),"")</f>
        <v/>
      </c>
      <c r="D107" t="str">
        <f>_xlfn.IFNA(VLOOKUP($B107,Atletas!$A:$D,3),"")</f>
        <v/>
      </c>
      <c r="E107" t="str">
        <f>_xlfn.IFNA(VLOOKUP($B107,Atletas!$A:$D,4),"")</f>
        <v/>
      </c>
    </row>
    <row r="108" spans="3:5" x14ac:dyDescent="0.25">
      <c r="C108" t="str">
        <f>_xlfn.IFNA(VLOOKUP($B108,Atletas!$A:$D,2),"")</f>
        <v/>
      </c>
      <c r="D108" t="str">
        <f>_xlfn.IFNA(VLOOKUP($B108,Atletas!$A:$D,3),"")</f>
        <v/>
      </c>
      <c r="E108" t="str">
        <f>_xlfn.IFNA(VLOOKUP($B108,Atletas!$A:$D,4),"")</f>
        <v/>
      </c>
    </row>
    <row r="109" spans="3:5" x14ac:dyDescent="0.25">
      <c r="C109" t="str">
        <f>_xlfn.IFNA(VLOOKUP($B109,Atletas!$A:$D,2),"")</f>
        <v/>
      </c>
      <c r="D109" t="str">
        <f>_xlfn.IFNA(VLOOKUP($B109,Atletas!$A:$D,3),"")</f>
        <v/>
      </c>
      <c r="E109" t="str">
        <f>_xlfn.IFNA(VLOOKUP($B109,Atletas!$A:$D,4),"")</f>
        <v/>
      </c>
    </row>
    <row r="110" spans="3:5" x14ac:dyDescent="0.25">
      <c r="C110" t="str">
        <f>_xlfn.IFNA(VLOOKUP($B110,Atletas!$A:$D,2),"")</f>
        <v/>
      </c>
      <c r="D110" t="str">
        <f>_xlfn.IFNA(VLOOKUP($B110,Atletas!$A:$D,3),"")</f>
        <v/>
      </c>
      <c r="E110" t="str">
        <f>_xlfn.IFNA(VLOOKUP($B110,Atletas!$A:$D,4),"")</f>
        <v/>
      </c>
    </row>
    <row r="111" spans="3:5" x14ac:dyDescent="0.25">
      <c r="C111" t="str">
        <f>_xlfn.IFNA(VLOOKUP($B111,Atletas!$A:$D,2),"")</f>
        <v/>
      </c>
      <c r="D111" t="str">
        <f>_xlfn.IFNA(VLOOKUP($B111,Atletas!$A:$D,3),"")</f>
        <v/>
      </c>
      <c r="E111" t="str">
        <f>_xlfn.IFNA(VLOOKUP($B111,Atletas!$A:$D,4),"")</f>
        <v/>
      </c>
    </row>
    <row r="112" spans="3:5" x14ac:dyDescent="0.25">
      <c r="C112" t="str">
        <f>_xlfn.IFNA(VLOOKUP($B112,Atletas!$A:$D,2),"")</f>
        <v/>
      </c>
      <c r="D112" t="str">
        <f>_xlfn.IFNA(VLOOKUP($B112,Atletas!$A:$D,3),"")</f>
        <v/>
      </c>
      <c r="E112" t="str">
        <f>_xlfn.IFNA(VLOOKUP($B112,Atletas!$A:$D,4),"")</f>
        <v/>
      </c>
    </row>
    <row r="113" spans="3:5" x14ac:dyDescent="0.25">
      <c r="C113" t="str">
        <f>_xlfn.IFNA(VLOOKUP($B113,Atletas!$A:$D,2),"")</f>
        <v/>
      </c>
      <c r="D113" t="str">
        <f>_xlfn.IFNA(VLOOKUP($B113,Atletas!$A:$D,3),"")</f>
        <v/>
      </c>
      <c r="E113" t="str">
        <f>_xlfn.IFNA(VLOOKUP($B113,Atletas!$A:$D,4),"")</f>
        <v/>
      </c>
    </row>
    <row r="114" spans="3:5" x14ac:dyDescent="0.25">
      <c r="C114" t="str">
        <f>_xlfn.IFNA(VLOOKUP($B114,Atletas!$A:$D,2),"")</f>
        <v/>
      </c>
      <c r="D114" t="str">
        <f>_xlfn.IFNA(VLOOKUP($B114,Atletas!$A:$D,3),"")</f>
        <v/>
      </c>
      <c r="E114" t="str">
        <f>_xlfn.IFNA(VLOOKUP($B114,Atletas!$A:$D,4),"")</f>
        <v/>
      </c>
    </row>
    <row r="115" spans="3:5" x14ac:dyDescent="0.25">
      <c r="C115" t="str">
        <f>_xlfn.IFNA(VLOOKUP($B115,Atletas!$A:$D,2),"")</f>
        <v/>
      </c>
      <c r="D115" t="str">
        <f>_xlfn.IFNA(VLOOKUP($B115,Atletas!$A:$D,3),"")</f>
        <v/>
      </c>
      <c r="E115" t="str">
        <f>_xlfn.IFNA(VLOOKUP($B115,Atletas!$A:$D,4),"")</f>
        <v/>
      </c>
    </row>
    <row r="116" spans="3:5" x14ac:dyDescent="0.25">
      <c r="C116" t="str">
        <f>_xlfn.IFNA(VLOOKUP($B116,Atletas!$A:$D,2),"")</f>
        <v/>
      </c>
      <c r="D116" t="str">
        <f>_xlfn.IFNA(VLOOKUP($B116,Atletas!$A:$D,3),"")</f>
        <v/>
      </c>
      <c r="E116" t="str">
        <f>_xlfn.IFNA(VLOOKUP($B116,Atletas!$A:$D,4),"")</f>
        <v/>
      </c>
    </row>
    <row r="117" spans="3:5" x14ac:dyDescent="0.25">
      <c r="C117" t="str">
        <f>_xlfn.IFNA(VLOOKUP($B117,Atletas!$A:$D,2),"")</f>
        <v/>
      </c>
      <c r="D117" t="str">
        <f>_xlfn.IFNA(VLOOKUP($B117,Atletas!$A:$D,3),"")</f>
        <v/>
      </c>
      <c r="E117" t="str">
        <f>_xlfn.IFNA(VLOOKUP($B117,Atletas!$A:$D,4),"")</f>
        <v/>
      </c>
    </row>
    <row r="118" spans="3:5" x14ac:dyDescent="0.25">
      <c r="C118" t="str">
        <f>_xlfn.IFNA(VLOOKUP($B118,Atletas!$A:$D,2),"")</f>
        <v/>
      </c>
      <c r="D118" t="str">
        <f>_xlfn.IFNA(VLOOKUP($B118,Atletas!$A:$D,3),"")</f>
        <v/>
      </c>
      <c r="E118" t="str">
        <f>_xlfn.IFNA(VLOOKUP($B118,Atletas!$A:$D,4),"")</f>
        <v/>
      </c>
    </row>
    <row r="119" spans="3:5" x14ac:dyDescent="0.25">
      <c r="C119" t="str">
        <f>_xlfn.IFNA(VLOOKUP($B119,Atletas!$A:$D,2),"")</f>
        <v/>
      </c>
      <c r="D119" t="str">
        <f>_xlfn.IFNA(VLOOKUP($B119,Atletas!$A:$D,3),"")</f>
        <v/>
      </c>
      <c r="E119" t="str">
        <f>_xlfn.IFNA(VLOOKUP($B119,Atletas!$A:$D,4),"")</f>
        <v/>
      </c>
    </row>
    <row r="120" spans="3:5" x14ac:dyDescent="0.25">
      <c r="C120" t="str">
        <f>_xlfn.IFNA(VLOOKUP($B120,Atletas!$A:$D,2),"")</f>
        <v/>
      </c>
      <c r="D120" t="str">
        <f>_xlfn.IFNA(VLOOKUP($B120,Atletas!$A:$D,3),"")</f>
        <v/>
      </c>
      <c r="E120" t="str">
        <f>_xlfn.IFNA(VLOOKUP($B120,Atletas!$A:$D,4),"")</f>
        <v/>
      </c>
    </row>
    <row r="121" spans="3:5" x14ac:dyDescent="0.25">
      <c r="C121" t="str">
        <f>_xlfn.IFNA(VLOOKUP($B121,Atletas!$A:$D,2),"")</f>
        <v/>
      </c>
      <c r="D121" t="str">
        <f>_xlfn.IFNA(VLOOKUP($B121,Atletas!$A:$D,3),"")</f>
        <v/>
      </c>
      <c r="E121" t="str">
        <f>_xlfn.IFNA(VLOOKUP($B121,Atletas!$A:$D,4),"")</f>
        <v/>
      </c>
    </row>
    <row r="122" spans="3:5" x14ac:dyDescent="0.25">
      <c r="C122" t="str">
        <f>_xlfn.IFNA(VLOOKUP($B122,Atletas!$A:$D,2),"")</f>
        <v/>
      </c>
      <c r="D122" t="str">
        <f>_xlfn.IFNA(VLOOKUP($B122,Atletas!$A:$D,3),"")</f>
        <v/>
      </c>
      <c r="E122" t="str">
        <f>_xlfn.IFNA(VLOOKUP($B122,Atletas!$A:$D,4),"")</f>
        <v/>
      </c>
    </row>
    <row r="123" spans="3:5" x14ac:dyDescent="0.25">
      <c r="C123" t="str">
        <f>_xlfn.IFNA(VLOOKUP($B123,Atletas!$A:$D,2),"")</f>
        <v/>
      </c>
      <c r="D123" t="str">
        <f>_xlfn.IFNA(VLOOKUP($B123,Atletas!$A:$D,3),"")</f>
        <v/>
      </c>
      <c r="E123" t="str">
        <f>_xlfn.IFNA(VLOOKUP($B123,Atletas!$A:$D,4),"")</f>
        <v/>
      </c>
    </row>
    <row r="124" spans="3:5" x14ac:dyDescent="0.25">
      <c r="C124" t="str">
        <f>_xlfn.IFNA(VLOOKUP($B124,Atletas!$A:$D,2),"")</f>
        <v/>
      </c>
      <c r="D124" t="str">
        <f>_xlfn.IFNA(VLOOKUP($B124,Atletas!$A:$D,3),"")</f>
        <v/>
      </c>
      <c r="E124" t="str">
        <f>_xlfn.IFNA(VLOOKUP($B124,Atletas!$A:$D,4),"")</f>
        <v/>
      </c>
    </row>
    <row r="125" spans="3:5" x14ac:dyDescent="0.25">
      <c r="C125" t="str">
        <f>_xlfn.IFNA(VLOOKUP($B125,Atletas!$A:$D,2),"")</f>
        <v/>
      </c>
      <c r="D125" t="str">
        <f>_xlfn.IFNA(VLOOKUP($B125,Atletas!$A:$D,3),"")</f>
        <v/>
      </c>
      <c r="E125" t="str">
        <f>_xlfn.IFNA(VLOOKUP($B125,Atletas!$A:$D,4),"")</f>
        <v/>
      </c>
    </row>
    <row r="126" spans="3:5" x14ac:dyDescent="0.25">
      <c r="C126" t="str">
        <f>_xlfn.IFNA(VLOOKUP($B126,Atletas!$A:$D,2),"")</f>
        <v/>
      </c>
      <c r="D126" t="str">
        <f>_xlfn.IFNA(VLOOKUP($B126,Atletas!$A:$D,3),"")</f>
        <v/>
      </c>
      <c r="E126" t="str">
        <f>_xlfn.IFNA(VLOOKUP($B126,Atletas!$A:$D,4),"")</f>
        <v/>
      </c>
    </row>
    <row r="127" spans="3:5" x14ac:dyDescent="0.25">
      <c r="C127" t="str">
        <f>_xlfn.IFNA(VLOOKUP($B127,Atletas!$A:$D,2),"")</f>
        <v/>
      </c>
      <c r="D127" t="str">
        <f>_xlfn.IFNA(VLOOKUP($B127,Atletas!$A:$D,3),"")</f>
        <v/>
      </c>
      <c r="E127" t="str">
        <f>_xlfn.IFNA(VLOOKUP($B127,Atletas!$A:$D,4),"")</f>
        <v/>
      </c>
    </row>
    <row r="128" spans="3:5" x14ac:dyDescent="0.25">
      <c r="C128" t="str">
        <f>_xlfn.IFNA(VLOOKUP($B128,Atletas!$A:$D,2),"")</f>
        <v/>
      </c>
      <c r="D128" t="str">
        <f>_xlfn.IFNA(VLOOKUP($B128,Atletas!$A:$D,3),"")</f>
        <v/>
      </c>
      <c r="E128" t="str">
        <f>_xlfn.IFNA(VLOOKUP($B128,Atletas!$A:$D,4),"")</f>
        <v/>
      </c>
    </row>
    <row r="129" spans="3:5" x14ac:dyDescent="0.25">
      <c r="C129" t="str">
        <f>_xlfn.IFNA(VLOOKUP($B129,Atletas!$A:$D,2),"")</f>
        <v/>
      </c>
      <c r="D129" t="str">
        <f>_xlfn.IFNA(VLOOKUP($B129,Atletas!$A:$D,3),"")</f>
        <v/>
      </c>
      <c r="E129" t="str">
        <f>_xlfn.IFNA(VLOOKUP($B129,Atletas!$A:$D,4),"")</f>
        <v/>
      </c>
    </row>
    <row r="130" spans="3:5" x14ac:dyDescent="0.25">
      <c r="C130" t="str">
        <f>_xlfn.IFNA(VLOOKUP($B130,Atletas!$A:$D,2),"")</f>
        <v/>
      </c>
      <c r="D130" t="str">
        <f>_xlfn.IFNA(VLOOKUP($B130,Atletas!$A:$D,3),"")</f>
        <v/>
      </c>
      <c r="E130" t="str">
        <f>_xlfn.IFNA(VLOOKUP($B130,Atletas!$A:$D,4),"")</f>
        <v/>
      </c>
    </row>
    <row r="131" spans="3:5" x14ac:dyDescent="0.25">
      <c r="C131" t="str">
        <f>_xlfn.IFNA(VLOOKUP($B131,Atletas!$A:$D,2),"")</f>
        <v/>
      </c>
      <c r="D131" t="str">
        <f>_xlfn.IFNA(VLOOKUP($B131,Atletas!$A:$D,3),"")</f>
        <v/>
      </c>
      <c r="E131" t="str">
        <f>_xlfn.IFNA(VLOOKUP($B131,Atletas!$A:$D,4),"")</f>
        <v/>
      </c>
    </row>
    <row r="132" spans="3:5" x14ac:dyDescent="0.25">
      <c r="C132" t="str">
        <f>_xlfn.IFNA(VLOOKUP($B132,Atletas!$A:$D,2),"")</f>
        <v/>
      </c>
      <c r="D132" t="str">
        <f>_xlfn.IFNA(VLOOKUP($B132,Atletas!$A:$D,3),"")</f>
        <v/>
      </c>
      <c r="E132" t="str">
        <f>_xlfn.IFNA(VLOOKUP($B132,Atletas!$A:$D,4),"")</f>
        <v/>
      </c>
    </row>
    <row r="133" spans="3:5" x14ac:dyDescent="0.25">
      <c r="C133" t="str">
        <f>_xlfn.IFNA(VLOOKUP($B133,Atletas!$A:$D,2),"")</f>
        <v/>
      </c>
      <c r="D133" t="str">
        <f>_xlfn.IFNA(VLOOKUP($B133,Atletas!$A:$D,3),"")</f>
        <v/>
      </c>
      <c r="E133" t="str">
        <f>_xlfn.IFNA(VLOOKUP($B133,Atletas!$A:$D,4),"")</f>
        <v/>
      </c>
    </row>
    <row r="134" spans="3:5" x14ac:dyDescent="0.25">
      <c r="C134" t="str">
        <f>_xlfn.IFNA(VLOOKUP($B134,Atletas!$A:$D,2),"")</f>
        <v/>
      </c>
      <c r="D134" t="str">
        <f>_xlfn.IFNA(VLOOKUP($B134,Atletas!$A:$D,3),"")</f>
        <v/>
      </c>
      <c r="E134" t="str">
        <f>_xlfn.IFNA(VLOOKUP($B134,Atletas!$A:$D,4),"")</f>
        <v/>
      </c>
    </row>
    <row r="135" spans="3:5" x14ac:dyDescent="0.25">
      <c r="C135" t="str">
        <f>_xlfn.IFNA(VLOOKUP($B135,Atletas!$A:$D,2),"")</f>
        <v/>
      </c>
      <c r="D135" t="str">
        <f>_xlfn.IFNA(VLOOKUP($B135,Atletas!$A:$D,3),"")</f>
        <v/>
      </c>
      <c r="E135" t="str">
        <f>_xlfn.IFNA(VLOOKUP($B135,Atletas!$A:$D,4),"")</f>
        <v/>
      </c>
    </row>
    <row r="136" spans="3:5" x14ac:dyDescent="0.25">
      <c r="C136" t="str">
        <f>_xlfn.IFNA(VLOOKUP($B136,Atletas!$A:$D,2),"")</f>
        <v/>
      </c>
      <c r="D136" t="str">
        <f>_xlfn.IFNA(VLOOKUP($B136,Atletas!$A:$D,3),"")</f>
        <v/>
      </c>
      <c r="E136" t="str">
        <f>_xlfn.IFNA(VLOOKUP($B136,Atletas!$A:$D,4),"")</f>
        <v/>
      </c>
    </row>
    <row r="137" spans="3:5" x14ac:dyDescent="0.25">
      <c r="C137" t="str">
        <f>_xlfn.IFNA(VLOOKUP($B137,Atletas!$A:$D,2),"")</f>
        <v/>
      </c>
      <c r="D137" t="str">
        <f>_xlfn.IFNA(VLOOKUP($B137,Atletas!$A:$D,3),"")</f>
        <v/>
      </c>
      <c r="E137" t="str">
        <f>_xlfn.IFNA(VLOOKUP($B137,Atletas!$A:$D,4),"")</f>
        <v/>
      </c>
    </row>
    <row r="138" spans="3:5" x14ac:dyDescent="0.25">
      <c r="C138" t="str">
        <f>_xlfn.IFNA(VLOOKUP($B138,Atletas!$A:$D,2),"")</f>
        <v/>
      </c>
      <c r="D138" t="str">
        <f>_xlfn.IFNA(VLOOKUP($B138,Atletas!$A:$D,3),"")</f>
        <v/>
      </c>
      <c r="E138" t="str">
        <f>_xlfn.IFNA(VLOOKUP($B138,Atletas!$A:$D,4),"")</f>
        <v/>
      </c>
    </row>
    <row r="139" spans="3:5" x14ac:dyDescent="0.25">
      <c r="C139" t="str">
        <f>_xlfn.IFNA(VLOOKUP($B139,Atletas!$A:$D,2),"")</f>
        <v/>
      </c>
      <c r="D139" t="str">
        <f>_xlfn.IFNA(VLOOKUP($B139,Atletas!$A:$D,3),"")</f>
        <v/>
      </c>
      <c r="E139" t="str">
        <f>_xlfn.IFNA(VLOOKUP($B139,Atletas!$A:$D,4),"")</f>
        <v/>
      </c>
    </row>
    <row r="140" spans="3:5" x14ac:dyDescent="0.25">
      <c r="C140" t="str">
        <f>_xlfn.IFNA(VLOOKUP($B140,Atletas!$A:$D,2),"")</f>
        <v/>
      </c>
      <c r="D140" t="str">
        <f>_xlfn.IFNA(VLOOKUP($B140,Atletas!$A:$D,3),"")</f>
        <v/>
      </c>
      <c r="E140" t="str">
        <f>_xlfn.IFNA(VLOOKUP($B140,Atletas!$A:$D,4),"")</f>
        <v/>
      </c>
    </row>
  </sheetData>
  <dataValidations count="3">
    <dataValidation type="custom" allowBlank="1" showInputMessage="1" showErrorMessage="1" errorTitle="Atleta já registado" error="Este atleta já foi registado!" sqref="B1:B1048576" xr:uid="{92DE3F4E-0643-42D0-9486-6F966C4A617D}">
      <formula1>COUNTIF(B:B,B1)=1</formula1>
    </dataValidation>
    <dataValidation type="custom" allowBlank="1" showInputMessage="1" showErrorMessage="1" sqref="E1 E3:E1048576" xr:uid="{19AD3B2A-CFFE-4CAD-BA0B-348891E84561}">
      <formula1>IF(E2="Benjamin-F",1)</formula1>
    </dataValidation>
    <dataValidation type="custom" allowBlank="1" showInputMessage="1" showErrorMessage="1" sqref="E2" xr:uid="{658A8433-AC1D-44C7-B143-CF99BDABF9AB}">
      <formula1>IF(E3="Benjamin F",1)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SalvarSheetComoPDF">
                <anchor moveWithCells="1" sizeWithCells="1">
                  <from>
                    <xdr:col>7</xdr:col>
                    <xdr:colOff>0</xdr:colOff>
                    <xdr:row>0</xdr:row>
                    <xdr:rowOff>95250</xdr:rowOff>
                  </from>
                  <to>
                    <xdr:col>10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5993-8854-449E-8C51-465A6E2D1651}">
  <sheetPr codeName="Sheet6"/>
  <dimension ref="A1:E140"/>
  <sheetViews>
    <sheetView showGridLines="0" workbookViewId="0">
      <selection activeCell="A2" sqref="A2"/>
    </sheetView>
  </sheetViews>
  <sheetFormatPr defaultRowHeight="15" x14ac:dyDescent="0.25"/>
  <cols>
    <col min="1" max="1" width="6.42578125" customWidth="1"/>
    <col min="2" max="2" width="8.28515625" customWidth="1"/>
    <col min="3" max="3" width="34.28515625" customWidth="1"/>
    <col min="4" max="4" width="23.5703125" customWidth="1"/>
    <col min="5" max="5" width="12.85546875" customWidth="1"/>
  </cols>
  <sheetData>
    <row r="1" spans="1:5" x14ac:dyDescent="0.25">
      <c r="A1" t="s">
        <v>51</v>
      </c>
      <c r="B1" t="s">
        <v>1</v>
      </c>
      <c r="C1" t="s">
        <v>49</v>
      </c>
      <c r="D1" t="s">
        <v>2</v>
      </c>
      <c r="E1" t="s">
        <v>3</v>
      </c>
    </row>
    <row r="2" spans="1:5" x14ac:dyDescent="0.25">
      <c r="A2">
        <v>1</v>
      </c>
      <c r="B2">
        <v>7</v>
      </c>
      <c r="C2" s="1" t="str">
        <f>_xlfn.IFNA(VLOOKUP($B2,Atletas!$A:$D,2,FALSE),"")</f>
        <v>Dummy 7</v>
      </c>
      <c r="D2" s="1" t="str">
        <f>_xlfn.IFNA(VLOOKUP($B2,Atletas!$A:$D,3),"")</f>
        <v>A</v>
      </c>
      <c r="E2" s="1" t="str">
        <f>_xlfn.IFNA(VLOOKUP($B2,Atletas!$A:$D,4),"")</f>
        <v>Benjamin M</v>
      </c>
    </row>
    <row r="3" spans="1:5" x14ac:dyDescent="0.25">
      <c r="A3">
        <v>2</v>
      </c>
      <c r="B3">
        <v>8</v>
      </c>
      <c r="C3" s="1" t="str">
        <f>_xlfn.IFNA(VLOOKUP($B3,Atletas!$A:$D,2,FALSE),"")</f>
        <v>Dummy 8</v>
      </c>
      <c r="D3" s="1" t="str">
        <f>_xlfn.IFNA(VLOOKUP($B3,Atletas!$A:$D,3),"")</f>
        <v>A</v>
      </c>
      <c r="E3" s="1" t="str">
        <f>_xlfn.IFNA(VLOOKUP($B3,Atletas!$A:$D,4),"")</f>
        <v>Benjamin M</v>
      </c>
    </row>
    <row r="4" spans="1:5" x14ac:dyDescent="0.25">
      <c r="A4">
        <v>3</v>
      </c>
      <c r="B4">
        <v>9</v>
      </c>
      <c r="C4" s="1" t="str">
        <f>_xlfn.IFNA(VLOOKUP($B4,Atletas!$A:$D,2,FALSE),"")</f>
        <v>Dummy 9</v>
      </c>
      <c r="D4" s="1" t="str">
        <f>_xlfn.IFNA(VLOOKUP($B4,Atletas!$A:$D,3),"")</f>
        <v>B</v>
      </c>
      <c r="E4" s="1" t="str">
        <f>_xlfn.IFNA(VLOOKUP($B4,Atletas!$A:$D,4),"")</f>
        <v>Benjamin M</v>
      </c>
    </row>
    <row r="5" spans="1:5" x14ac:dyDescent="0.25">
      <c r="A5">
        <v>4</v>
      </c>
      <c r="B5">
        <v>10</v>
      </c>
      <c r="C5" s="1" t="str">
        <f>_xlfn.IFNA(VLOOKUP($B5,Atletas!$A:$D,2,FALSE),"")</f>
        <v>Dummy 10</v>
      </c>
      <c r="D5" s="1" t="str">
        <f>_xlfn.IFNA(VLOOKUP($B5,Atletas!$A:$D,3),"")</f>
        <v>B</v>
      </c>
      <c r="E5" s="1" t="str">
        <f>_xlfn.IFNA(VLOOKUP($B5,Atletas!$A:$D,4),"")</f>
        <v>Benjamin M</v>
      </c>
    </row>
    <row r="6" spans="1:5" x14ac:dyDescent="0.25">
      <c r="A6">
        <v>5</v>
      </c>
      <c r="B6">
        <v>11</v>
      </c>
      <c r="C6" s="1" t="str">
        <f>_xlfn.IFNA(VLOOKUP($B6,Atletas!$A:$D,2,FALSE),"")</f>
        <v>Dummy 11</v>
      </c>
      <c r="D6" s="1" t="str">
        <f>_xlfn.IFNA(VLOOKUP($B6,Atletas!$A:$D,3),"")</f>
        <v>B</v>
      </c>
      <c r="E6" s="1" t="str">
        <f>_xlfn.IFNA(VLOOKUP($B6,Atletas!$A:$D,4),"")</f>
        <v>Benjamin M</v>
      </c>
    </row>
    <row r="7" spans="1:5" x14ac:dyDescent="0.25">
      <c r="A7">
        <v>6</v>
      </c>
      <c r="B7">
        <v>12</v>
      </c>
      <c r="C7" s="1" t="str">
        <f>_xlfn.IFNA(VLOOKUP($B7,Atletas!$A:$D,2,FALSE),"")</f>
        <v>Dummy 12</v>
      </c>
      <c r="D7" s="1" t="str">
        <f>_xlfn.IFNA(VLOOKUP($B7,Atletas!$A:$D,3),"")</f>
        <v>A</v>
      </c>
      <c r="E7" s="1" t="str">
        <f>_xlfn.IFNA(VLOOKUP($B7,Atletas!$A:$D,4),"")</f>
        <v>Benjamin M</v>
      </c>
    </row>
    <row r="8" spans="1:5" x14ac:dyDescent="0.25">
      <c r="C8" s="1" t="str">
        <f>_xlfn.IFNA(VLOOKUP($B8,Atletas!$A:$D,2,FALSE),"")</f>
        <v/>
      </c>
      <c r="D8" s="1" t="str">
        <f>_xlfn.IFNA(VLOOKUP($B8,Atletas!$A:$D,3),"")</f>
        <v/>
      </c>
      <c r="E8" s="1" t="str">
        <f>_xlfn.IFNA(VLOOKUP($B8,Atletas!$A:$D,4),"")</f>
        <v/>
      </c>
    </row>
    <row r="9" spans="1:5" x14ac:dyDescent="0.25">
      <c r="C9" s="1" t="str">
        <f>_xlfn.IFNA(VLOOKUP($B9,Atletas!$A:$D,2,FALSE),"")</f>
        <v/>
      </c>
      <c r="D9" s="1" t="str">
        <f>_xlfn.IFNA(VLOOKUP($B9,Atletas!$A:$D,3),"")</f>
        <v/>
      </c>
      <c r="E9" s="1" t="str">
        <f>_xlfn.IFNA(VLOOKUP($B9,Atletas!$A:$D,4),"")</f>
        <v/>
      </c>
    </row>
    <row r="10" spans="1:5" x14ac:dyDescent="0.25">
      <c r="C10" s="1" t="str">
        <f>_xlfn.IFNA(VLOOKUP($B10,Atletas!$A:$D,2,FALSE),"")</f>
        <v/>
      </c>
      <c r="D10" s="1" t="str">
        <f>_xlfn.IFNA(VLOOKUP($B10,Atletas!$A:$D,3),"")</f>
        <v/>
      </c>
      <c r="E10" s="1" t="str">
        <f>_xlfn.IFNA(VLOOKUP($B10,Atletas!$A:$D,4),"")</f>
        <v/>
      </c>
    </row>
    <row r="11" spans="1:5" x14ac:dyDescent="0.25">
      <c r="C11" s="1" t="str">
        <f>_xlfn.IFNA(VLOOKUP($B11,Atletas!$A:$D,2,FALSE),"")</f>
        <v/>
      </c>
      <c r="D11" s="1" t="str">
        <f>_xlfn.IFNA(VLOOKUP($B11,Atletas!$A:$D,3),"")</f>
        <v/>
      </c>
      <c r="E11" s="1" t="str">
        <f>_xlfn.IFNA(VLOOKUP($B11,Atletas!$A:$D,4),"")</f>
        <v/>
      </c>
    </row>
    <row r="12" spans="1:5" x14ac:dyDescent="0.25">
      <c r="C12" s="1" t="str">
        <f>_xlfn.IFNA(VLOOKUP($B12,Atletas!$A:$D,2,FALSE),"")</f>
        <v/>
      </c>
      <c r="D12" s="1" t="str">
        <f>_xlfn.IFNA(VLOOKUP($B12,Atletas!$A:$D,3),"")</f>
        <v/>
      </c>
      <c r="E12" s="1" t="str">
        <f>_xlfn.IFNA(VLOOKUP($B12,Atletas!$A:$D,4),"")</f>
        <v/>
      </c>
    </row>
    <row r="13" spans="1:5" x14ac:dyDescent="0.25">
      <c r="C13" t="str">
        <f>_xlfn.IFNA(VLOOKUP($B13,Atletas!$A:$D,2),"")</f>
        <v/>
      </c>
      <c r="D13" t="str">
        <f>_xlfn.IFNA(VLOOKUP($B13,Atletas!$A:$D,3),"")</f>
        <v/>
      </c>
      <c r="E13" t="str">
        <f>_xlfn.IFNA(VLOOKUP($B13,Atletas!$A:$D,4),"")</f>
        <v/>
      </c>
    </row>
    <row r="14" spans="1:5" x14ac:dyDescent="0.25">
      <c r="C14" t="str">
        <f>_xlfn.IFNA(VLOOKUP($B14,Atletas!$A:$D,2),"")</f>
        <v/>
      </c>
      <c r="D14" t="str">
        <f>_xlfn.IFNA(VLOOKUP($B14,Atletas!$A:$D,3),"")</f>
        <v/>
      </c>
      <c r="E14" t="str">
        <f>_xlfn.IFNA(VLOOKUP($B14,Atletas!$A:$D,4),"")</f>
        <v/>
      </c>
    </row>
    <row r="15" spans="1:5" x14ac:dyDescent="0.25">
      <c r="C15" t="str">
        <f>_xlfn.IFNA(VLOOKUP($B15,Atletas!$A:$D,2),"")</f>
        <v/>
      </c>
      <c r="D15" t="str">
        <f>_xlfn.IFNA(VLOOKUP($B15,Atletas!$A:$D,3),"")</f>
        <v/>
      </c>
      <c r="E15" t="str">
        <f>_xlfn.IFNA(VLOOKUP($B15,Atletas!$A:$D,4),"")</f>
        <v/>
      </c>
    </row>
    <row r="16" spans="1:5" x14ac:dyDescent="0.25">
      <c r="C16" t="str">
        <f>_xlfn.IFNA(VLOOKUP($B16,Atletas!$A:$D,2),"")</f>
        <v/>
      </c>
      <c r="D16" t="str">
        <f>_xlfn.IFNA(VLOOKUP($B16,Atletas!$A:$D,3),"")</f>
        <v/>
      </c>
      <c r="E16" t="str">
        <f>_xlfn.IFNA(VLOOKUP($B16,Atletas!$A:$D,4),"")</f>
        <v/>
      </c>
    </row>
    <row r="17" spans="3:5" x14ac:dyDescent="0.25">
      <c r="C17" t="str">
        <f>_xlfn.IFNA(VLOOKUP($B17,Atletas!$A:$D,2),"")</f>
        <v/>
      </c>
      <c r="D17" t="str">
        <f>_xlfn.IFNA(VLOOKUP($B17,Atletas!$A:$D,3),"")</f>
        <v/>
      </c>
      <c r="E17" t="str">
        <f>_xlfn.IFNA(VLOOKUP($B17,Atletas!$A:$D,4),"")</f>
        <v/>
      </c>
    </row>
    <row r="18" spans="3:5" x14ac:dyDescent="0.25">
      <c r="C18" t="str">
        <f>_xlfn.IFNA(VLOOKUP($B18,Atletas!$A:$D,2),"")</f>
        <v/>
      </c>
      <c r="D18" t="str">
        <f>_xlfn.IFNA(VLOOKUP($B18,Atletas!$A:$D,3),"")</f>
        <v/>
      </c>
      <c r="E18" t="str">
        <f>_xlfn.IFNA(VLOOKUP($B18,Atletas!$A:$D,4),"")</f>
        <v/>
      </c>
    </row>
    <row r="19" spans="3:5" x14ac:dyDescent="0.25">
      <c r="C19" t="str">
        <f>_xlfn.IFNA(VLOOKUP($B19,Atletas!$A:$D,2),"")</f>
        <v/>
      </c>
      <c r="D19" t="str">
        <f>_xlfn.IFNA(VLOOKUP($B19,Atletas!$A:$D,3),"")</f>
        <v/>
      </c>
      <c r="E19" t="str">
        <f>_xlfn.IFNA(VLOOKUP($B19,Atletas!$A:$D,4),"")</f>
        <v/>
      </c>
    </row>
    <row r="20" spans="3:5" x14ac:dyDescent="0.25">
      <c r="C20" t="str">
        <f>_xlfn.IFNA(VLOOKUP($B20,Atletas!$A:$D,2),"")</f>
        <v/>
      </c>
      <c r="D20" t="str">
        <f>_xlfn.IFNA(VLOOKUP($B20,Atletas!$A:$D,3),"")</f>
        <v/>
      </c>
      <c r="E20" t="str">
        <f>_xlfn.IFNA(VLOOKUP($B20,Atletas!$A:$D,4),"")</f>
        <v/>
      </c>
    </row>
    <row r="21" spans="3:5" x14ac:dyDescent="0.25">
      <c r="C21" t="str">
        <f>_xlfn.IFNA(VLOOKUP($B21,Atletas!$A:$D,2),"")</f>
        <v/>
      </c>
      <c r="D21" t="str">
        <f>_xlfn.IFNA(VLOOKUP($B21,Atletas!$A:$D,3),"")</f>
        <v/>
      </c>
      <c r="E21" t="str">
        <f>_xlfn.IFNA(VLOOKUP($B21,Atletas!$A:$D,4),"")</f>
        <v/>
      </c>
    </row>
    <row r="22" spans="3:5" x14ac:dyDescent="0.25">
      <c r="C22" t="str">
        <f>_xlfn.IFNA(VLOOKUP($B22,Atletas!$A:$D,2),"")</f>
        <v/>
      </c>
      <c r="D22" t="str">
        <f>_xlfn.IFNA(VLOOKUP($B22,Atletas!$A:$D,3),"")</f>
        <v/>
      </c>
      <c r="E22" t="str">
        <f>_xlfn.IFNA(VLOOKUP($B22,Atletas!$A:$D,4),"")</f>
        <v/>
      </c>
    </row>
    <row r="23" spans="3:5" x14ac:dyDescent="0.25">
      <c r="C23" t="str">
        <f>_xlfn.IFNA(VLOOKUP($B23,Atletas!$A:$D,2),"")</f>
        <v/>
      </c>
      <c r="D23" t="str">
        <f>_xlfn.IFNA(VLOOKUP($B23,Atletas!$A:$D,3),"")</f>
        <v/>
      </c>
      <c r="E23" t="str">
        <f>_xlfn.IFNA(VLOOKUP($B23,Atletas!$A:$D,4),"")</f>
        <v/>
      </c>
    </row>
    <row r="24" spans="3:5" x14ac:dyDescent="0.25">
      <c r="C24" t="str">
        <f>_xlfn.IFNA(VLOOKUP($B24,Atletas!$A:$D,2),"")</f>
        <v/>
      </c>
      <c r="D24" t="str">
        <f>_xlfn.IFNA(VLOOKUP($B24,Atletas!$A:$D,3),"")</f>
        <v/>
      </c>
      <c r="E24" t="str">
        <f>_xlfn.IFNA(VLOOKUP($B24,Atletas!$A:$D,4),"")</f>
        <v/>
      </c>
    </row>
    <row r="25" spans="3:5" x14ac:dyDescent="0.25">
      <c r="C25" t="str">
        <f>_xlfn.IFNA(VLOOKUP($B25,Atletas!$A:$D,2),"")</f>
        <v/>
      </c>
      <c r="D25" t="str">
        <f>_xlfn.IFNA(VLOOKUP($B25,Atletas!$A:$D,3),"")</f>
        <v/>
      </c>
      <c r="E25" t="str">
        <f>_xlfn.IFNA(VLOOKUP($B25,Atletas!$A:$D,4),"")</f>
        <v/>
      </c>
    </row>
    <row r="26" spans="3:5" x14ac:dyDescent="0.25">
      <c r="C26" t="str">
        <f>_xlfn.IFNA(VLOOKUP($B26,Atletas!$A:$D,2),"")</f>
        <v/>
      </c>
      <c r="D26" t="str">
        <f>_xlfn.IFNA(VLOOKUP($B26,Atletas!$A:$D,3),"")</f>
        <v/>
      </c>
      <c r="E26" t="str">
        <f>_xlfn.IFNA(VLOOKUP($B26,Atletas!$A:$D,4),"")</f>
        <v/>
      </c>
    </row>
    <row r="27" spans="3:5" x14ac:dyDescent="0.25">
      <c r="C27" t="str">
        <f>_xlfn.IFNA(VLOOKUP($B27,Atletas!$A:$D,2),"")</f>
        <v/>
      </c>
      <c r="D27" t="str">
        <f>_xlfn.IFNA(VLOOKUP($B27,Atletas!$A:$D,3),"")</f>
        <v/>
      </c>
      <c r="E27" t="str">
        <f>_xlfn.IFNA(VLOOKUP($B27,Atletas!$A:$D,4),"")</f>
        <v/>
      </c>
    </row>
    <row r="28" spans="3:5" x14ac:dyDescent="0.25">
      <c r="C28" t="str">
        <f>_xlfn.IFNA(VLOOKUP($B28,Atletas!$A:$D,2),"")</f>
        <v/>
      </c>
      <c r="D28" t="str">
        <f>_xlfn.IFNA(VLOOKUP($B28,Atletas!$A:$D,3),"")</f>
        <v/>
      </c>
      <c r="E28" t="str">
        <f>_xlfn.IFNA(VLOOKUP($B28,Atletas!$A:$D,4),"")</f>
        <v/>
      </c>
    </row>
    <row r="29" spans="3:5" x14ac:dyDescent="0.25">
      <c r="C29" t="str">
        <f>_xlfn.IFNA(VLOOKUP($B29,Atletas!$A:$D,2),"")</f>
        <v/>
      </c>
      <c r="D29" t="str">
        <f>_xlfn.IFNA(VLOOKUP($B29,Atletas!$A:$D,3),"")</f>
        <v/>
      </c>
      <c r="E29" t="str">
        <f>_xlfn.IFNA(VLOOKUP($B29,Atletas!$A:$D,4),"")</f>
        <v/>
      </c>
    </row>
    <row r="30" spans="3:5" x14ac:dyDescent="0.25">
      <c r="C30" t="str">
        <f>_xlfn.IFNA(VLOOKUP($B30,Atletas!$A:$D,2),"")</f>
        <v/>
      </c>
      <c r="D30" t="str">
        <f>_xlfn.IFNA(VLOOKUP($B30,Atletas!$A:$D,3),"")</f>
        <v/>
      </c>
      <c r="E30" t="str">
        <f>_xlfn.IFNA(VLOOKUP($B30,Atletas!$A:$D,4),"")</f>
        <v/>
      </c>
    </row>
    <row r="31" spans="3:5" x14ac:dyDescent="0.25">
      <c r="C31" t="str">
        <f>_xlfn.IFNA(VLOOKUP($B31,Atletas!$A:$D,2),"")</f>
        <v/>
      </c>
      <c r="D31" t="str">
        <f>_xlfn.IFNA(VLOOKUP($B31,Atletas!$A:$D,3),"")</f>
        <v/>
      </c>
      <c r="E31" t="str">
        <f>_xlfn.IFNA(VLOOKUP($B31,Atletas!$A:$D,4),"")</f>
        <v/>
      </c>
    </row>
    <row r="32" spans="3:5" x14ac:dyDescent="0.25">
      <c r="C32" t="str">
        <f>_xlfn.IFNA(VLOOKUP($B32,Atletas!$A:$D,2),"")</f>
        <v/>
      </c>
      <c r="D32" t="str">
        <f>_xlfn.IFNA(VLOOKUP($B32,Atletas!$A:$D,3),"")</f>
        <v/>
      </c>
      <c r="E32" t="str">
        <f>_xlfn.IFNA(VLOOKUP($B32,Atletas!$A:$D,4),"")</f>
        <v/>
      </c>
    </row>
    <row r="33" spans="3:5" x14ac:dyDescent="0.25">
      <c r="C33" t="str">
        <f>_xlfn.IFNA(VLOOKUP($B33,Atletas!$A:$D,2),"")</f>
        <v/>
      </c>
      <c r="D33" t="str">
        <f>_xlfn.IFNA(VLOOKUP($B33,Atletas!$A:$D,3),"")</f>
        <v/>
      </c>
      <c r="E33" t="str">
        <f>_xlfn.IFNA(VLOOKUP($B33,Atletas!$A:$D,4),"")</f>
        <v/>
      </c>
    </row>
    <row r="34" spans="3:5" x14ac:dyDescent="0.25">
      <c r="C34" t="str">
        <f>_xlfn.IFNA(VLOOKUP($B34,Atletas!$A:$D,2),"")</f>
        <v/>
      </c>
      <c r="D34" t="str">
        <f>_xlfn.IFNA(VLOOKUP($B34,Atletas!$A:$D,3),"")</f>
        <v/>
      </c>
      <c r="E34" t="str">
        <f>_xlfn.IFNA(VLOOKUP($B34,Atletas!$A:$D,4),"")</f>
        <v/>
      </c>
    </row>
    <row r="35" spans="3:5" x14ac:dyDescent="0.25">
      <c r="C35" t="str">
        <f>_xlfn.IFNA(VLOOKUP($B35,Atletas!$A:$D,2),"")</f>
        <v/>
      </c>
      <c r="D35" t="str">
        <f>_xlfn.IFNA(VLOOKUP($B35,Atletas!$A:$D,3),"")</f>
        <v/>
      </c>
      <c r="E35" t="str">
        <f>_xlfn.IFNA(VLOOKUP($B35,Atletas!$A:$D,4),"")</f>
        <v/>
      </c>
    </row>
    <row r="36" spans="3:5" x14ac:dyDescent="0.25">
      <c r="C36" t="str">
        <f>_xlfn.IFNA(VLOOKUP($B36,Atletas!$A:$D,2),"")</f>
        <v/>
      </c>
      <c r="D36" t="str">
        <f>_xlfn.IFNA(VLOOKUP($B36,Atletas!$A:$D,3),"")</f>
        <v/>
      </c>
      <c r="E36" t="str">
        <f>_xlfn.IFNA(VLOOKUP($B36,Atletas!$A:$D,4),"")</f>
        <v/>
      </c>
    </row>
    <row r="37" spans="3:5" x14ac:dyDescent="0.25">
      <c r="C37" t="str">
        <f>_xlfn.IFNA(VLOOKUP($B37,Atletas!$A:$D,2),"")</f>
        <v/>
      </c>
      <c r="D37" t="str">
        <f>_xlfn.IFNA(VLOOKUP($B37,Atletas!$A:$D,3),"")</f>
        <v/>
      </c>
      <c r="E37" t="str">
        <f>_xlfn.IFNA(VLOOKUP($B37,Atletas!$A:$D,4),"")</f>
        <v/>
      </c>
    </row>
    <row r="38" spans="3:5" x14ac:dyDescent="0.25">
      <c r="C38" t="str">
        <f>_xlfn.IFNA(VLOOKUP($B38,Atletas!$A:$D,2),"")</f>
        <v/>
      </c>
      <c r="D38" t="str">
        <f>_xlfn.IFNA(VLOOKUP($B38,Atletas!$A:$D,3),"")</f>
        <v/>
      </c>
      <c r="E38" t="str">
        <f>_xlfn.IFNA(VLOOKUP($B38,Atletas!$A:$D,4),"")</f>
        <v/>
      </c>
    </row>
    <row r="39" spans="3:5" x14ac:dyDescent="0.25">
      <c r="C39" t="str">
        <f>_xlfn.IFNA(VLOOKUP($B39,Atletas!$A:$D,2),"")</f>
        <v/>
      </c>
      <c r="D39" t="str">
        <f>_xlfn.IFNA(VLOOKUP($B39,Atletas!$A:$D,3),"")</f>
        <v/>
      </c>
      <c r="E39" t="str">
        <f>_xlfn.IFNA(VLOOKUP($B39,Atletas!$A:$D,4),"")</f>
        <v/>
      </c>
    </row>
    <row r="40" spans="3:5" x14ac:dyDescent="0.25">
      <c r="C40" t="str">
        <f>_xlfn.IFNA(VLOOKUP($B40,Atletas!$A:$D,2),"")</f>
        <v/>
      </c>
      <c r="D40" t="str">
        <f>_xlfn.IFNA(VLOOKUP($B40,Atletas!$A:$D,3),"")</f>
        <v/>
      </c>
      <c r="E40" t="str">
        <f>_xlfn.IFNA(VLOOKUP($B40,Atletas!$A:$D,4),"")</f>
        <v/>
      </c>
    </row>
    <row r="41" spans="3:5" x14ac:dyDescent="0.25">
      <c r="C41" t="str">
        <f>_xlfn.IFNA(VLOOKUP($B41,Atletas!$A:$D,2),"")</f>
        <v/>
      </c>
      <c r="D41" t="str">
        <f>_xlfn.IFNA(VLOOKUP($B41,Atletas!$A:$D,3),"")</f>
        <v/>
      </c>
      <c r="E41" t="str">
        <f>_xlfn.IFNA(VLOOKUP($B41,Atletas!$A:$D,4),"")</f>
        <v/>
      </c>
    </row>
    <row r="42" spans="3:5" x14ac:dyDescent="0.25">
      <c r="C42" t="str">
        <f>_xlfn.IFNA(VLOOKUP($B42,Atletas!$A:$D,2),"")</f>
        <v/>
      </c>
      <c r="D42" t="str">
        <f>_xlfn.IFNA(VLOOKUP($B42,Atletas!$A:$D,3),"")</f>
        <v/>
      </c>
      <c r="E42" t="str">
        <f>_xlfn.IFNA(VLOOKUP($B42,Atletas!$A:$D,4),"")</f>
        <v/>
      </c>
    </row>
    <row r="43" spans="3:5" x14ac:dyDescent="0.25">
      <c r="C43" t="str">
        <f>_xlfn.IFNA(VLOOKUP($B43,Atletas!$A:$D,2),"")</f>
        <v/>
      </c>
      <c r="D43" t="str">
        <f>_xlfn.IFNA(VLOOKUP($B43,Atletas!$A:$D,3),"")</f>
        <v/>
      </c>
      <c r="E43" t="str">
        <f>_xlfn.IFNA(VLOOKUP($B43,Atletas!$A:$D,4),"")</f>
        <v/>
      </c>
    </row>
    <row r="44" spans="3:5" x14ac:dyDescent="0.25">
      <c r="C44" t="str">
        <f>_xlfn.IFNA(VLOOKUP($B44,Atletas!$A:$D,2),"")</f>
        <v/>
      </c>
      <c r="D44" t="str">
        <f>_xlfn.IFNA(VLOOKUP($B44,Atletas!$A:$D,3),"")</f>
        <v/>
      </c>
      <c r="E44" t="str">
        <f>_xlfn.IFNA(VLOOKUP($B44,Atletas!$A:$D,4),"")</f>
        <v/>
      </c>
    </row>
    <row r="45" spans="3:5" x14ac:dyDescent="0.25">
      <c r="C45" t="str">
        <f>_xlfn.IFNA(VLOOKUP($B45,Atletas!$A:$D,2),"")</f>
        <v/>
      </c>
      <c r="D45" t="str">
        <f>_xlfn.IFNA(VLOOKUP($B45,Atletas!$A:$D,3),"")</f>
        <v/>
      </c>
      <c r="E45" t="str">
        <f>_xlfn.IFNA(VLOOKUP($B45,Atletas!$A:$D,4),"")</f>
        <v/>
      </c>
    </row>
    <row r="46" spans="3:5" x14ac:dyDescent="0.25">
      <c r="C46" t="str">
        <f>_xlfn.IFNA(VLOOKUP($B46,Atletas!$A:$D,2),"")</f>
        <v/>
      </c>
      <c r="D46" t="str">
        <f>_xlfn.IFNA(VLOOKUP($B46,Atletas!$A:$D,3),"")</f>
        <v/>
      </c>
      <c r="E46" t="str">
        <f>_xlfn.IFNA(VLOOKUP($B46,Atletas!$A:$D,4),"")</f>
        <v/>
      </c>
    </row>
    <row r="47" spans="3:5" x14ac:dyDescent="0.25">
      <c r="C47" t="str">
        <f>_xlfn.IFNA(VLOOKUP($B47,Atletas!$A:$D,2),"")</f>
        <v/>
      </c>
      <c r="D47" t="str">
        <f>_xlfn.IFNA(VLOOKUP($B47,Atletas!$A:$D,3),"")</f>
        <v/>
      </c>
      <c r="E47" t="str">
        <f>_xlfn.IFNA(VLOOKUP($B47,Atletas!$A:$D,4),"")</f>
        <v/>
      </c>
    </row>
    <row r="48" spans="3:5" x14ac:dyDescent="0.25">
      <c r="C48" t="str">
        <f>_xlfn.IFNA(VLOOKUP($B48,Atletas!$A:$D,2),"")</f>
        <v/>
      </c>
      <c r="D48" t="str">
        <f>_xlfn.IFNA(VLOOKUP($B48,Atletas!$A:$D,3),"")</f>
        <v/>
      </c>
      <c r="E48" t="str">
        <f>_xlfn.IFNA(VLOOKUP($B48,Atletas!$A:$D,4),"")</f>
        <v/>
      </c>
    </row>
    <row r="49" spans="3:5" x14ac:dyDescent="0.25">
      <c r="C49" t="str">
        <f>_xlfn.IFNA(VLOOKUP($B49,Atletas!$A:$D,2),"")</f>
        <v/>
      </c>
      <c r="D49" t="str">
        <f>_xlfn.IFNA(VLOOKUP($B49,Atletas!$A:$D,3),"")</f>
        <v/>
      </c>
      <c r="E49" t="str">
        <f>_xlfn.IFNA(VLOOKUP($B49,Atletas!$A:$D,4),"")</f>
        <v/>
      </c>
    </row>
    <row r="50" spans="3:5" x14ac:dyDescent="0.25">
      <c r="C50" t="str">
        <f>_xlfn.IFNA(VLOOKUP($B50,Atletas!$A:$D,2),"")</f>
        <v/>
      </c>
      <c r="D50" t="str">
        <f>_xlfn.IFNA(VLOOKUP($B50,Atletas!$A:$D,3),"")</f>
        <v/>
      </c>
      <c r="E50" t="str">
        <f>_xlfn.IFNA(VLOOKUP($B50,Atletas!$A:$D,4),"")</f>
        <v/>
      </c>
    </row>
    <row r="51" spans="3:5" x14ac:dyDescent="0.25">
      <c r="C51" t="str">
        <f>_xlfn.IFNA(VLOOKUP($B51,Atletas!$A:$D,2),"")</f>
        <v/>
      </c>
      <c r="D51" t="str">
        <f>_xlfn.IFNA(VLOOKUP($B51,Atletas!$A:$D,3),"")</f>
        <v/>
      </c>
      <c r="E51" t="str">
        <f>_xlfn.IFNA(VLOOKUP($B51,Atletas!$A:$D,4),"")</f>
        <v/>
      </c>
    </row>
    <row r="52" spans="3:5" x14ac:dyDescent="0.25">
      <c r="C52" t="str">
        <f>_xlfn.IFNA(VLOOKUP($B52,Atletas!$A:$D,2),"")</f>
        <v/>
      </c>
      <c r="D52" t="str">
        <f>_xlfn.IFNA(VLOOKUP($B52,Atletas!$A:$D,3),"")</f>
        <v/>
      </c>
      <c r="E52" t="str">
        <f>_xlfn.IFNA(VLOOKUP($B52,Atletas!$A:$D,4),"")</f>
        <v/>
      </c>
    </row>
    <row r="53" spans="3:5" x14ac:dyDescent="0.25">
      <c r="C53" t="str">
        <f>_xlfn.IFNA(VLOOKUP($B53,Atletas!$A:$D,2),"")</f>
        <v/>
      </c>
      <c r="D53" t="str">
        <f>_xlfn.IFNA(VLOOKUP($B53,Atletas!$A:$D,3),"")</f>
        <v/>
      </c>
      <c r="E53" t="str">
        <f>_xlfn.IFNA(VLOOKUP($B53,Atletas!$A:$D,4),"")</f>
        <v/>
      </c>
    </row>
    <row r="54" spans="3:5" x14ac:dyDescent="0.25">
      <c r="C54" t="str">
        <f>_xlfn.IFNA(VLOOKUP($B54,Atletas!$A:$D,2),"")</f>
        <v/>
      </c>
      <c r="D54" t="str">
        <f>_xlfn.IFNA(VLOOKUP($B54,Atletas!$A:$D,3),"")</f>
        <v/>
      </c>
      <c r="E54" t="str">
        <f>_xlfn.IFNA(VLOOKUP($B54,Atletas!$A:$D,4),"")</f>
        <v/>
      </c>
    </row>
    <row r="55" spans="3:5" x14ac:dyDescent="0.25">
      <c r="C55" t="str">
        <f>_xlfn.IFNA(VLOOKUP($B55,Atletas!$A:$D,2),"")</f>
        <v/>
      </c>
      <c r="D55" t="str">
        <f>_xlfn.IFNA(VLOOKUP($B55,Atletas!$A:$D,3),"")</f>
        <v/>
      </c>
      <c r="E55" t="str">
        <f>_xlfn.IFNA(VLOOKUP($B55,Atletas!$A:$D,4),"")</f>
        <v/>
      </c>
    </row>
    <row r="56" spans="3:5" x14ac:dyDescent="0.25">
      <c r="C56" t="str">
        <f>_xlfn.IFNA(VLOOKUP($B56,Atletas!$A:$D,2),"")</f>
        <v/>
      </c>
      <c r="D56" t="str">
        <f>_xlfn.IFNA(VLOOKUP($B56,Atletas!$A:$D,3),"")</f>
        <v/>
      </c>
      <c r="E56" t="str">
        <f>_xlfn.IFNA(VLOOKUP($B56,Atletas!$A:$D,4),"")</f>
        <v/>
      </c>
    </row>
    <row r="57" spans="3:5" x14ac:dyDescent="0.25">
      <c r="C57" t="str">
        <f>_xlfn.IFNA(VLOOKUP($B57,Atletas!$A:$D,2),"")</f>
        <v/>
      </c>
      <c r="D57" t="str">
        <f>_xlfn.IFNA(VLOOKUP($B57,Atletas!$A:$D,3),"")</f>
        <v/>
      </c>
      <c r="E57" t="str">
        <f>_xlfn.IFNA(VLOOKUP($B57,Atletas!$A:$D,4),"")</f>
        <v/>
      </c>
    </row>
    <row r="58" spans="3:5" x14ac:dyDescent="0.25">
      <c r="C58" t="str">
        <f>_xlfn.IFNA(VLOOKUP($B58,Atletas!$A:$D,2),"")</f>
        <v/>
      </c>
      <c r="D58" t="str">
        <f>_xlfn.IFNA(VLOOKUP($B58,Atletas!$A:$D,3),"")</f>
        <v/>
      </c>
      <c r="E58" t="str">
        <f>_xlfn.IFNA(VLOOKUP($B58,Atletas!$A:$D,4),"")</f>
        <v/>
      </c>
    </row>
    <row r="59" spans="3:5" x14ac:dyDescent="0.25">
      <c r="C59" t="str">
        <f>_xlfn.IFNA(VLOOKUP($B59,Atletas!$A:$D,2),"")</f>
        <v/>
      </c>
      <c r="D59" t="str">
        <f>_xlfn.IFNA(VLOOKUP($B59,Atletas!$A:$D,3),"")</f>
        <v/>
      </c>
      <c r="E59" t="str">
        <f>_xlfn.IFNA(VLOOKUP($B59,Atletas!$A:$D,4),"")</f>
        <v/>
      </c>
    </row>
    <row r="60" spans="3:5" x14ac:dyDescent="0.25">
      <c r="C60" t="str">
        <f>_xlfn.IFNA(VLOOKUP($B60,Atletas!$A:$D,2),"")</f>
        <v/>
      </c>
      <c r="D60" t="str">
        <f>_xlfn.IFNA(VLOOKUP($B60,Atletas!$A:$D,3),"")</f>
        <v/>
      </c>
      <c r="E60" t="str">
        <f>_xlfn.IFNA(VLOOKUP($B60,Atletas!$A:$D,4),"")</f>
        <v/>
      </c>
    </row>
    <row r="61" spans="3:5" x14ac:dyDescent="0.25">
      <c r="C61" t="str">
        <f>_xlfn.IFNA(VLOOKUP($B61,Atletas!$A:$D,2),"")</f>
        <v/>
      </c>
      <c r="D61" t="str">
        <f>_xlfn.IFNA(VLOOKUP($B61,Atletas!$A:$D,3),"")</f>
        <v/>
      </c>
      <c r="E61" t="str">
        <f>_xlfn.IFNA(VLOOKUP($B61,Atletas!$A:$D,4),"")</f>
        <v/>
      </c>
    </row>
    <row r="62" spans="3:5" x14ac:dyDescent="0.25">
      <c r="C62" t="str">
        <f>_xlfn.IFNA(VLOOKUP($B62,Atletas!$A:$D,2),"")</f>
        <v/>
      </c>
      <c r="D62" t="str">
        <f>_xlfn.IFNA(VLOOKUP($B62,Atletas!$A:$D,3),"")</f>
        <v/>
      </c>
      <c r="E62" t="str">
        <f>_xlfn.IFNA(VLOOKUP($B62,Atletas!$A:$D,4),"")</f>
        <v/>
      </c>
    </row>
    <row r="63" spans="3:5" x14ac:dyDescent="0.25">
      <c r="C63" t="str">
        <f>_xlfn.IFNA(VLOOKUP($B63,Atletas!$A:$D,2),"")</f>
        <v/>
      </c>
      <c r="D63" t="str">
        <f>_xlfn.IFNA(VLOOKUP($B63,Atletas!$A:$D,3),"")</f>
        <v/>
      </c>
      <c r="E63" t="str">
        <f>_xlfn.IFNA(VLOOKUP($B63,Atletas!$A:$D,4),"")</f>
        <v/>
      </c>
    </row>
    <row r="64" spans="3:5" x14ac:dyDescent="0.25">
      <c r="C64" t="str">
        <f>_xlfn.IFNA(VLOOKUP($B64,Atletas!$A:$D,2),"")</f>
        <v/>
      </c>
      <c r="D64" t="str">
        <f>_xlfn.IFNA(VLOOKUP($B64,Atletas!$A:$D,3),"")</f>
        <v/>
      </c>
      <c r="E64" t="str">
        <f>_xlfn.IFNA(VLOOKUP($B64,Atletas!$A:$D,4),"")</f>
        <v/>
      </c>
    </row>
    <row r="65" spans="3:5" x14ac:dyDescent="0.25">
      <c r="C65" t="str">
        <f>_xlfn.IFNA(VLOOKUP($B65,Atletas!$A:$D,2),"")</f>
        <v/>
      </c>
      <c r="D65" t="str">
        <f>_xlfn.IFNA(VLOOKUP($B65,Atletas!$A:$D,3),"")</f>
        <v/>
      </c>
      <c r="E65" t="str">
        <f>_xlfn.IFNA(VLOOKUP($B65,Atletas!$A:$D,4),"")</f>
        <v/>
      </c>
    </row>
    <row r="66" spans="3:5" x14ac:dyDescent="0.25">
      <c r="C66" t="str">
        <f>_xlfn.IFNA(VLOOKUP($B66,Atletas!$A:$D,2),"")</f>
        <v/>
      </c>
      <c r="D66" t="str">
        <f>_xlfn.IFNA(VLOOKUP($B66,Atletas!$A:$D,3),"")</f>
        <v/>
      </c>
      <c r="E66" t="str">
        <f>_xlfn.IFNA(VLOOKUP($B66,Atletas!$A:$D,4),"")</f>
        <v/>
      </c>
    </row>
    <row r="67" spans="3:5" x14ac:dyDescent="0.25">
      <c r="C67" t="str">
        <f>_xlfn.IFNA(VLOOKUP($B67,Atletas!$A:$D,2),"")</f>
        <v/>
      </c>
      <c r="D67" t="str">
        <f>_xlfn.IFNA(VLOOKUP($B67,Atletas!$A:$D,3),"")</f>
        <v/>
      </c>
      <c r="E67" t="str">
        <f>_xlfn.IFNA(VLOOKUP($B67,Atletas!$A:$D,4),"")</f>
        <v/>
      </c>
    </row>
    <row r="68" spans="3:5" x14ac:dyDescent="0.25">
      <c r="C68" t="str">
        <f>_xlfn.IFNA(VLOOKUP($B68,Atletas!$A:$D,2),"")</f>
        <v/>
      </c>
      <c r="D68" t="str">
        <f>_xlfn.IFNA(VLOOKUP($B68,Atletas!$A:$D,3),"")</f>
        <v/>
      </c>
      <c r="E68" t="str">
        <f>_xlfn.IFNA(VLOOKUP($B68,Atletas!$A:$D,4),"")</f>
        <v/>
      </c>
    </row>
    <row r="69" spans="3:5" x14ac:dyDescent="0.25">
      <c r="C69" t="str">
        <f>_xlfn.IFNA(VLOOKUP($B69,Atletas!$A:$D,2),"")</f>
        <v/>
      </c>
      <c r="D69" t="str">
        <f>_xlfn.IFNA(VLOOKUP($B69,Atletas!$A:$D,3),"")</f>
        <v/>
      </c>
      <c r="E69" t="str">
        <f>_xlfn.IFNA(VLOOKUP($B69,Atletas!$A:$D,4),"")</f>
        <v/>
      </c>
    </row>
    <row r="70" spans="3:5" x14ac:dyDescent="0.25">
      <c r="C70" t="str">
        <f>_xlfn.IFNA(VLOOKUP($B70,Atletas!$A:$D,2),"")</f>
        <v/>
      </c>
      <c r="D70" t="str">
        <f>_xlfn.IFNA(VLOOKUP($B70,Atletas!$A:$D,3),"")</f>
        <v/>
      </c>
      <c r="E70" t="str">
        <f>_xlfn.IFNA(VLOOKUP($B70,Atletas!$A:$D,4),"")</f>
        <v/>
      </c>
    </row>
    <row r="71" spans="3:5" x14ac:dyDescent="0.25">
      <c r="C71" t="str">
        <f>_xlfn.IFNA(VLOOKUP($B71,Atletas!$A:$D,2),"")</f>
        <v/>
      </c>
      <c r="D71" t="str">
        <f>_xlfn.IFNA(VLOOKUP($B71,Atletas!$A:$D,3),"")</f>
        <v/>
      </c>
      <c r="E71" t="str">
        <f>_xlfn.IFNA(VLOOKUP($B71,Atletas!$A:$D,4),"")</f>
        <v/>
      </c>
    </row>
    <row r="72" spans="3:5" x14ac:dyDescent="0.25">
      <c r="C72" t="str">
        <f>_xlfn.IFNA(VLOOKUP($B72,Atletas!$A:$D,2),"")</f>
        <v/>
      </c>
      <c r="D72" t="str">
        <f>_xlfn.IFNA(VLOOKUP($B72,Atletas!$A:$D,3),"")</f>
        <v/>
      </c>
      <c r="E72" t="str">
        <f>_xlfn.IFNA(VLOOKUP($B72,Atletas!$A:$D,4),"")</f>
        <v/>
      </c>
    </row>
    <row r="73" spans="3:5" x14ac:dyDescent="0.25">
      <c r="C73" t="str">
        <f>_xlfn.IFNA(VLOOKUP($B73,Atletas!$A:$D,2),"")</f>
        <v/>
      </c>
      <c r="D73" t="str">
        <f>_xlfn.IFNA(VLOOKUP($B73,Atletas!$A:$D,3),"")</f>
        <v/>
      </c>
      <c r="E73" t="str">
        <f>_xlfn.IFNA(VLOOKUP($B73,Atletas!$A:$D,4),"")</f>
        <v/>
      </c>
    </row>
    <row r="74" spans="3:5" x14ac:dyDescent="0.25">
      <c r="C74" t="str">
        <f>_xlfn.IFNA(VLOOKUP($B74,Atletas!$A:$D,2),"")</f>
        <v/>
      </c>
      <c r="D74" t="str">
        <f>_xlfn.IFNA(VLOOKUP($B74,Atletas!$A:$D,3),"")</f>
        <v/>
      </c>
      <c r="E74" t="str">
        <f>_xlfn.IFNA(VLOOKUP($B74,Atletas!$A:$D,4),"")</f>
        <v/>
      </c>
    </row>
    <row r="75" spans="3:5" x14ac:dyDescent="0.25">
      <c r="C75" t="str">
        <f>_xlfn.IFNA(VLOOKUP($B75,Atletas!$A:$D,2),"")</f>
        <v/>
      </c>
      <c r="D75" t="str">
        <f>_xlfn.IFNA(VLOOKUP($B75,Atletas!$A:$D,3),"")</f>
        <v/>
      </c>
      <c r="E75" t="str">
        <f>_xlfn.IFNA(VLOOKUP($B75,Atletas!$A:$D,4),"")</f>
        <v/>
      </c>
    </row>
    <row r="76" spans="3:5" x14ac:dyDescent="0.25">
      <c r="C76" t="str">
        <f>_xlfn.IFNA(VLOOKUP($B76,Atletas!$A:$D,2),"")</f>
        <v/>
      </c>
      <c r="D76" t="str">
        <f>_xlfn.IFNA(VLOOKUP($B76,Atletas!$A:$D,3),"")</f>
        <v/>
      </c>
      <c r="E76" t="str">
        <f>_xlfn.IFNA(VLOOKUP($B76,Atletas!$A:$D,4),"")</f>
        <v/>
      </c>
    </row>
    <row r="77" spans="3:5" x14ac:dyDescent="0.25">
      <c r="C77" t="str">
        <f>_xlfn.IFNA(VLOOKUP($B77,Atletas!$A:$D,2),"")</f>
        <v/>
      </c>
      <c r="D77" t="str">
        <f>_xlfn.IFNA(VLOOKUP($B77,Atletas!$A:$D,3),"")</f>
        <v/>
      </c>
      <c r="E77" t="str">
        <f>_xlfn.IFNA(VLOOKUP($B77,Atletas!$A:$D,4),"")</f>
        <v/>
      </c>
    </row>
    <row r="78" spans="3:5" x14ac:dyDescent="0.25">
      <c r="C78" t="str">
        <f>_xlfn.IFNA(VLOOKUP($B78,Atletas!$A:$D,2),"")</f>
        <v/>
      </c>
      <c r="D78" t="str">
        <f>_xlfn.IFNA(VLOOKUP($B78,Atletas!$A:$D,3),"")</f>
        <v/>
      </c>
      <c r="E78" t="str">
        <f>_xlfn.IFNA(VLOOKUP($B78,Atletas!$A:$D,4),"")</f>
        <v/>
      </c>
    </row>
    <row r="79" spans="3:5" x14ac:dyDescent="0.25">
      <c r="C79" t="str">
        <f>_xlfn.IFNA(VLOOKUP($B79,Atletas!$A:$D,2),"")</f>
        <v/>
      </c>
      <c r="D79" t="str">
        <f>_xlfn.IFNA(VLOOKUP($B79,Atletas!$A:$D,3),"")</f>
        <v/>
      </c>
      <c r="E79" t="str">
        <f>_xlfn.IFNA(VLOOKUP($B79,Atletas!$A:$D,4),"")</f>
        <v/>
      </c>
    </row>
    <row r="80" spans="3:5" x14ac:dyDescent="0.25">
      <c r="C80" t="str">
        <f>_xlfn.IFNA(VLOOKUP($B80,Atletas!$A:$D,2),"")</f>
        <v/>
      </c>
      <c r="D80" t="str">
        <f>_xlfn.IFNA(VLOOKUP($B80,Atletas!$A:$D,3),"")</f>
        <v/>
      </c>
      <c r="E80" t="str">
        <f>_xlfn.IFNA(VLOOKUP($B80,Atletas!$A:$D,4),"")</f>
        <v/>
      </c>
    </row>
    <row r="81" spans="3:5" x14ac:dyDescent="0.25">
      <c r="C81" t="str">
        <f>_xlfn.IFNA(VLOOKUP($B81,Atletas!$A:$D,2),"")</f>
        <v/>
      </c>
      <c r="D81" t="str">
        <f>_xlfn.IFNA(VLOOKUP($B81,Atletas!$A:$D,3),"")</f>
        <v/>
      </c>
      <c r="E81" t="str">
        <f>_xlfn.IFNA(VLOOKUP($B81,Atletas!$A:$D,4),"")</f>
        <v/>
      </c>
    </row>
    <row r="82" spans="3:5" x14ac:dyDescent="0.25">
      <c r="C82" t="str">
        <f>_xlfn.IFNA(VLOOKUP($B82,Atletas!$A:$D,2),"")</f>
        <v/>
      </c>
      <c r="D82" t="str">
        <f>_xlfn.IFNA(VLOOKUP($B82,Atletas!$A:$D,3),"")</f>
        <v/>
      </c>
      <c r="E82" t="str">
        <f>_xlfn.IFNA(VLOOKUP($B82,Atletas!$A:$D,4),"")</f>
        <v/>
      </c>
    </row>
    <row r="83" spans="3:5" x14ac:dyDescent="0.25">
      <c r="C83" t="str">
        <f>_xlfn.IFNA(VLOOKUP($B83,Atletas!$A:$D,2),"")</f>
        <v/>
      </c>
      <c r="D83" t="str">
        <f>_xlfn.IFNA(VLOOKUP($B83,Atletas!$A:$D,3),"")</f>
        <v/>
      </c>
      <c r="E83" t="str">
        <f>_xlfn.IFNA(VLOOKUP($B83,Atletas!$A:$D,4),"")</f>
        <v/>
      </c>
    </row>
    <row r="84" spans="3:5" x14ac:dyDescent="0.25">
      <c r="C84" t="str">
        <f>_xlfn.IFNA(VLOOKUP($B84,Atletas!$A:$D,2),"")</f>
        <v/>
      </c>
      <c r="D84" t="str">
        <f>_xlfn.IFNA(VLOOKUP($B84,Atletas!$A:$D,3),"")</f>
        <v/>
      </c>
      <c r="E84" t="str">
        <f>_xlfn.IFNA(VLOOKUP($B84,Atletas!$A:$D,4),"")</f>
        <v/>
      </c>
    </row>
    <row r="85" spans="3:5" x14ac:dyDescent="0.25">
      <c r="C85" t="str">
        <f>_xlfn.IFNA(VLOOKUP($B85,Atletas!$A:$D,2),"")</f>
        <v/>
      </c>
      <c r="D85" t="str">
        <f>_xlfn.IFNA(VLOOKUP($B85,Atletas!$A:$D,3),"")</f>
        <v/>
      </c>
      <c r="E85" t="str">
        <f>_xlfn.IFNA(VLOOKUP($B85,Atletas!$A:$D,4),"")</f>
        <v/>
      </c>
    </row>
    <row r="86" spans="3:5" x14ac:dyDescent="0.25">
      <c r="C86" t="str">
        <f>_xlfn.IFNA(VLOOKUP($B86,Atletas!$A:$D,2),"")</f>
        <v/>
      </c>
      <c r="D86" t="str">
        <f>_xlfn.IFNA(VLOOKUP($B86,Atletas!$A:$D,3),"")</f>
        <v/>
      </c>
      <c r="E86" t="str">
        <f>_xlfn.IFNA(VLOOKUP($B86,Atletas!$A:$D,4),"")</f>
        <v/>
      </c>
    </row>
    <row r="87" spans="3:5" x14ac:dyDescent="0.25">
      <c r="C87" t="str">
        <f>_xlfn.IFNA(VLOOKUP($B87,Atletas!$A:$D,2),"")</f>
        <v/>
      </c>
      <c r="D87" t="str">
        <f>_xlfn.IFNA(VLOOKUP($B87,Atletas!$A:$D,3),"")</f>
        <v/>
      </c>
      <c r="E87" t="str">
        <f>_xlfn.IFNA(VLOOKUP($B87,Atletas!$A:$D,4),"")</f>
        <v/>
      </c>
    </row>
    <row r="88" spans="3:5" x14ac:dyDescent="0.25">
      <c r="C88" t="str">
        <f>_xlfn.IFNA(VLOOKUP($B88,Atletas!$A:$D,2),"")</f>
        <v/>
      </c>
      <c r="D88" t="str">
        <f>_xlfn.IFNA(VLOOKUP($B88,Atletas!$A:$D,3),"")</f>
        <v/>
      </c>
      <c r="E88" t="str">
        <f>_xlfn.IFNA(VLOOKUP($B88,Atletas!$A:$D,4),"")</f>
        <v/>
      </c>
    </row>
    <row r="89" spans="3:5" x14ac:dyDescent="0.25">
      <c r="C89" t="str">
        <f>_xlfn.IFNA(VLOOKUP($B89,Atletas!$A:$D,2),"")</f>
        <v/>
      </c>
      <c r="D89" t="str">
        <f>_xlfn.IFNA(VLOOKUP($B89,Atletas!$A:$D,3),"")</f>
        <v/>
      </c>
      <c r="E89" t="str">
        <f>_xlfn.IFNA(VLOOKUP($B89,Atletas!$A:$D,4),"")</f>
        <v/>
      </c>
    </row>
    <row r="90" spans="3:5" x14ac:dyDescent="0.25">
      <c r="C90" t="str">
        <f>_xlfn.IFNA(VLOOKUP($B90,Atletas!$A:$D,2),"")</f>
        <v/>
      </c>
      <c r="D90" t="str">
        <f>_xlfn.IFNA(VLOOKUP($B90,Atletas!$A:$D,3),"")</f>
        <v/>
      </c>
      <c r="E90" t="str">
        <f>_xlfn.IFNA(VLOOKUP($B90,Atletas!$A:$D,4),"")</f>
        <v/>
      </c>
    </row>
    <row r="91" spans="3:5" x14ac:dyDescent="0.25">
      <c r="C91" t="str">
        <f>_xlfn.IFNA(VLOOKUP($B91,Atletas!$A:$D,2),"")</f>
        <v/>
      </c>
      <c r="D91" t="str">
        <f>_xlfn.IFNA(VLOOKUP($B91,Atletas!$A:$D,3),"")</f>
        <v/>
      </c>
      <c r="E91" t="str">
        <f>_xlfn.IFNA(VLOOKUP($B91,Atletas!$A:$D,4),"")</f>
        <v/>
      </c>
    </row>
    <row r="92" spans="3:5" x14ac:dyDescent="0.25">
      <c r="C92" t="str">
        <f>_xlfn.IFNA(VLOOKUP($B92,Atletas!$A:$D,2),"")</f>
        <v/>
      </c>
      <c r="D92" t="str">
        <f>_xlfn.IFNA(VLOOKUP($B92,Atletas!$A:$D,3),"")</f>
        <v/>
      </c>
      <c r="E92" t="str">
        <f>_xlfn.IFNA(VLOOKUP($B92,Atletas!$A:$D,4),"")</f>
        <v/>
      </c>
    </row>
    <row r="93" spans="3:5" x14ac:dyDescent="0.25">
      <c r="C93" t="str">
        <f>_xlfn.IFNA(VLOOKUP($B93,Atletas!$A:$D,2),"")</f>
        <v/>
      </c>
      <c r="D93" t="str">
        <f>_xlfn.IFNA(VLOOKUP($B93,Atletas!$A:$D,3),"")</f>
        <v/>
      </c>
      <c r="E93" t="str">
        <f>_xlfn.IFNA(VLOOKUP($B93,Atletas!$A:$D,4),"")</f>
        <v/>
      </c>
    </row>
    <row r="94" spans="3:5" x14ac:dyDescent="0.25">
      <c r="C94" t="str">
        <f>_xlfn.IFNA(VLOOKUP($B94,Atletas!$A:$D,2),"")</f>
        <v/>
      </c>
      <c r="D94" t="str">
        <f>_xlfn.IFNA(VLOOKUP($B94,Atletas!$A:$D,3),"")</f>
        <v/>
      </c>
      <c r="E94" t="str">
        <f>_xlfn.IFNA(VLOOKUP($B94,Atletas!$A:$D,4),"")</f>
        <v/>
      </c>
    </row>
    <row r="95" spans="3:5" x14ac:dyDescent="0.25">
      <c r="C95" t="str">
        <f>_xlfn.IFNA(VLOOKUP($B95,Atletas!$A:$D,2),"")</f>
        <v/>
      </c>
      <c r="D95" t="str">
        <f>_xlfn.IFNA(VLOOKUP($B95,Atletas!$A:$D,3),"")</f>
        <v/>
      </c>
      <c r="E95" t="str">
        <f>_xlfn.IFNA(VLOOKUP($B95,Atletas!$A:$D,4),"")</f>
        <v/>
      </c>
    </row>
    <row r="96" spans="3:5" x14ac:dyDescent="0.25">
      <c r="C96" t="str">
        <f>_xlfn.IFNA(VLOOKUP($B96,Atletas!$A:$D,2),"")</f>
        <v/>
      </c>
      <c r="D96" t="str">
        <f>_xlfn.IFNA(VLOOKUP($B96,Atletas!$A:$D,3),"")</f>
        <v/>
      </c>
      <c r="E96" t="str">
        <f>_xlfn.IFNA(VLOOKUP($B96,Atletas!$A:$D,4),"")</f>
        <v/>
      </c>
    </row>
    <row r="97" spans="3:5" x14ac:dyDescent="0.25">
      <c r="C97" t="str">
        <f>_xlfn.IFNA(VLOOKUP($B97,Atletas!$A:$D,2),"")</f>
        <v/>
      </c>
      <c r="D97" t="str">
        <f>_xlfn.IFNA(VLOOKUP($B97,Atletas!$A:$D,3),"")</f>
        <v/>
      </c>
      <c r="E97" t="str">
        <f>_xlfn.IFNA(VLOOKUP($B97,Atletas!$A:$D,4),"")</f>
        <v/>
      </c>
    </row>
    <row r="98" spans="3:5" x14ac:dyDescent="0.25">
      <c r="C98" t="str">
        <f>_xlfn.IFNA(VLOOKUP($B98,Atletas!$A:$D,2),"")</f>
        <v/>
      </c>
      <c r="D98" t="str">
        <f>_xlfn.IFNA(VLOOKUP($B98,Atletas!$A:$D,3),"")</f>
        <v/>
      </c>
      <c r="E98" t="str">
        <f>_xlfn.IFNA(VLOOKUP($B98,Atletas!$A:$D,4),"")</f>
        <v/>
      </c>
    </row>
    <row r="99" spans="3:5" x14ac:dyDescent="0.25">
      <c r="C99" t="str">
        <f>_xlfn.IFNA(VLOOKUP($B99,Atletas!$A:$D,2),"")</f>
        <v/>
      </c>
      <c r="D99" t="str">
        <f>_xlfn.IFNA(VLOOKUP($B99,Atletas!$A:$D,3),"")</f>
        <v/>
      </c>
      <c r="E99" t="str">
        <f>_xlfn.IFNA(VLOOKUP($B99,Atletas!$A:$D,4),"")</f>
        <v/>
      </c>
    </row>
    <row r="100" spans="3:5" x14ac:dyDescent="0.25">
      <c r="C100" t="str">
        <f>_xlfn.IFNA(VLOOKUP($B100,Atletas!$A:$D,2),"")</f>
        <v/>
      </c>
      <c r="D100" t="str">
        <f>_xlfn.IFNA(VLOOKUP($B100,Atletas!$A:$D,3),"")</f>
        <v/>
      </c>
      <c r="E100" t="str">
        <f>_xlfn.IFNA(VLOOKUP($B100,Atletas!$A:$D,4),"")</f>
        <v/>
      </c>
    </row>
    <row r="101" spans="3:5" x14ac:dyDescent="0.25">
      <c r="C101" t="str">
        <f>_xlfn.IFNA(VLOOKUP($B101,Atletas!$A:$D,2),"")</f>
        <v/>
      </c>
      <c r="D101" t="str">
        <f>_xlfn.IFNA(VLOOKUP($B101,Atletas!$A:$D,3),"")</f>
        <v/>
      </c>
      <c r="E101" t="str">
        <f>_xlfn.IFNA(VLOOKUP($B101,Atletas!$A:$D,4),"")</f>
        <v/>
      </c>
    </row>
    <row r="102" spans="3:5" x14ac:dyDescent="0.25">
      <c r="C102" t="str">
        <f>_xlfn.IFNA(VLOOKUP($B102,Atletas!$A:$D,2),"")</f>
        <v/>
      </c>
      <c r="D102" t="str">
        <f>_xlfn.IFNA(VLOOKUP($B102,Atletas!$A:$D,3),"")</f>
        <v/>
      </c>
      <c r="E102" t="str">
        <f>_xlfn.IFNA(VLOOKUP($B102,Atletas!$A:$D,4),"")</f>
        <v/>
      </c>
    </row>
    <row r="103" spans="3:5" x14ac:dyDescent="0.25">
      <c r="C103" t="str">
        <f>_xlfn.IFNA(VLOOKUP($B103,Atletas!$A:$D,2),"")</f>
        <v/>
      </c>
      <c r="D103" t="str">
        <f>_xlfn.IFNA(VLOOKUP($B103,Atletas!$A:$D,3),"")</f>
        <v/>
      </c>
      <c r="E103" t="str">
        <f>_xlfn.IFNA(VLOOKUP($B103,Atletas!$A:$D,4),"")</f>
        <v/>
      </c>
    </row>
    <row r="104" spans="3:5" x14ac:dyDescent="0.25">
      <c r="C104" t="str">
        <f>_xlfn.IFNA(VLOOKUP($B104,Atletas!$A:$D,2),"")</f>
        <v/>
      </c>
      <c r="D104" t="str">
        <f>_xlfn.IFNA(VLOOKUP($B104,Atletas!$A:$D,3),"")</f>
        <v/>
      </c>
      <c r="E104" t="str">
        <f>_xlfn.IFNA(VLOOKUP($B104,Atletas!$A:$D,4),"")</f>
        <v/>
      </c>
    </row>
    <row r="105" spans="3:5" x14ac:dyDescent="0.25">
      <c r="C105" t="str">
        <f>_xlfn.IFNA(VLOOKUP($B105,Atletas!$A:$D,2),"")</f>
        <v/>
      </c>
      <c r="D105" t="str">
        <f>_xlfn.IFNA(VLOOKUP($B105,Atletas!$A:$D,3),"")</f>
        <v/>
      </c>
      <c r="E105" t="str">
        <f>_xlfn.IFNA(VLOOKUP($B105,Atletas!$A:$D,4),"")</f>
        <v/>
      </c>
    </row>
    <row r="106" spans="3:5" x14ac:dyDescent="0.25">
      <c r="C106" t="str">
        <f>_xlfn.IFNA(VLOOKUP($B106,Atletas!$A:$D,2),"")</f>
        <v/>
      </c>
      <c r="D106" t="str">
        <f>_xlfn.IFNA(VLOOKUP($B106,Atletas!$A:$D,3),"")</f>
        <v/>
      </c>
      <c r="E106" t="str">
        <f>_xlfn.IFNA(VLOOKUP($B106,Atletas!$A:$D,4),"")</f>
        <v/>
      </c>
    </row>
    <row r="107" spans="3:5" x14ac:dyDescent="0.25">
      <c r="C107" t="str">
        <f>_xlfn.IFNA(VLOOKUP($B107,Atletas!$A:$D,2),"")</f>
        <v/>
      </c>
      <c r="D107" t="str">
        <f>_xlfn.IFNA(VLOOKUP($B107,Atletas!$A:$D,3),"")</f>
        <v/>
      </c>
      <c r="E107" t="str">
        <f>_xlfn.IFNA(VLOOKUP($B107,Atletas!$A:$D,4),"")</f>
        <v/>
      </c>
    </row>
    <row r="108" spans="3:5" x14ac:dyDescent="0.25">
      <c r="C108" t="str">
        <f>_xlfn.IFNA(VLOOKUP($B108,Atletas!$A:$D,2),"")</f>
        <v/>
      </c>
      <c r="D108" t="str">
        <f>_xlfn.IFNA(VLOOKUP($B108,Atletas!$A:$D,3),"")</f>
        <v/>
      </c>
      <c r="E108" t="str">
        <f>_xlfn.IFNA(VLOOKUP($B108,Atletas!$A:$D,4),"")</f>
        <v/>
      </c>
    </row>
    <row r="109" spans="3:5" x14ac:dyDescent="0.25">
      <c r="C109" t="str">
        <f>_xlfn.IFNA(VLOOKUP($B109,Atletas!$A:$D,2),"")</f>
        <v/>
      </c>
      <c r="D109" t="str">
        <f>_xlfn.IFNA(VLOOKUP($B109,Atletas!$A:$D,3),"")</f>
        <v/>
      </c>
      <c r="E109" t="str">
        <f>_xlfn.IFNA(VLOOKUP($B109,Atletas!$A:$D,4),"")</f>
        <v/>
      </c>
    </row>
    <row r="110" spans="3:5" x14ac:dyDescent="0.25">
      <c r="C110" t="str">
        <f>_xlfn.IFNA(VLOOKUP($B110,Atletas!$A:$D,2),"")</f>
        <v/>
      </c>
      <c r="D110" t="str">
        <f>_xlfn.IFNA(VLOOKUP($B110,Atletas!$A:$D,3),"")</f>
        <v/>
      </c>
      <c r="E110" t="str">
        <f>_xlfn.IFNA(VLOOKUP($B110,Atletas!$A:$D,4),"")</f>
        <v/>
      </c>
    </row>
    <row r="111" spans="3:5" x14ac:dyDescent="0.25">
      <c r="C111" t="str">
        <f>_xlfn.IFNA(VLOOKUP($B111,Atletas!$A:$D,2),"")</f>
        <v/>
      </c>
      <c r="D111" t="str">
        <f>_xlfn.IFNA(VLOOKUP($B111,Atletas!$A:$D,3),"")</f>
        <v/>
      </c>
      <c r="E111" t="str">
        <f>_xlfn.IFNA(VLOOKUP($B111,Atletas!$A:$D,4),"")</f>
        <v/>
      </c>
    </row>
    <row r="112" spans="3:5" x14ac:dyDescent="0.25">
      <c r="C112" t="str">
        <f>_xlfn.IFNA(VLOOKUP($B112,Atletas!$A:$D,2),"")</f>
        <v/>
      </c>
      <c r="D112" t="str">
        <f>_xlfn.IFNA(VLOOKUP($B112,Atletas!$A:$D,3),"")</f>
        <v/>
      </c>
      <c r="E112" t="str">
        <f>_xlfn.IFNA(VLOOKUP($B112,Atletas!$A:$D,4),"")</f>
        <v/>
      </c>
    </row>
    <row r="113" spans="3:5" x14ac:dyDescent="0.25">
      <c r="C113" t="str">
        <f>_xlfn.IFNA(VLOOKUP($B113,Atletas!$A:$D,2),"")</f>
        <v/>
      </c>
      <c r="D113" t="str">
        <f>_xlfn.IFNA(VLOOKUP($B113,Atletas!$A:$D,3),"")</f>
        <v/>
      </c>
      <c r="E113" t="str">
        <f>_xlfn.IFNA(VLOOKUP($B113,Atletas!$A:$D,4),"")</f>
        <v/>
      </c>
    </row>
    <row r="114" spans="3:5" x14ac:dyDescent="0.25">
      <c r="C114" t="str">
        <f>_xlfn.IFNA(VLOOKUP($B114,Atletas!$A:$D,2),"")</f>
        <v/>
      </c>
      <c r="D114" t="str">
        <f>_xlfn.IFNA(VLOOKUP($B114,Atletas!$A:$D,3),"")</f>
        <v/>
      </c>
      <c r="E114" t="str">
        <f>_xlfn.IFNA(VLOOKUP($B114,Atletas!$A:$D,4),"")</f>
        <v/>
      </c>
    </row>
    <row r="115" spans="3:5" x14ac:dyDescent="0.25">
      <c r="C115" t="str">
        <f>_xlfn.IFNA(VLOOKUP($B115,Atletas!$A:$D,2),"")</f>
        <v/>
      </c>
      <c r="D115" t="str">
        <f>_xlfn.IFNA(VLOOKUP($B115,Atletas!$A:$D,3),"")</f>
        <v/>
      </c>
      <c r="E115" t="str">
        <f>_xlfn.IFNA(VLOOKUP($B115,Atletas!$A:$D,4),"")</f>
        <v/>
      </c>
    </row>
    <row r="116" spans="3:5" x14ac:dyDescent="0.25">
      <c r="C116" t="str">
        <f>_xlfn.IFNA(VLOOKUP($B116,Atletas!$A:$D,2),"")</f>
        <v/>
      </c>
      <c r="D116" t="str">
        <f>_xlfn.IFNA(VLOOKUP($B116,Atletas!$A:$D,3),"")</f>
        <v/>
      </c>
      <c r="E116" t="str">
        <f>_xlfn.IFNA(VLOOKUP($B116,Atletas!$A:$D,4),"")</f>
        <v/>
      </c>
    </row>
    <row r="117" spans="3:5" x14ac:dyDescent="0.25">
      <c r="C117" t="str">
        <f>_xlfn.IFNA(VLOOKUP($B117,Atletas!$A:$D,2),"")</f>
        <v/>
      </c>
      <c r="D117" t="str">
        <f>_xlfn.IFNA(VLOOKUP($B117,Atletas!$A:$D,3),"")</f>
        <v/>
      </c>
      <c r="E117" t="str">
        <f>_xlfn.IFNA(VLOOKUP($B117,Atletas!$A:$D,4),"")</f>
        <v/>
      </c>
    </row>
    <row r="118" spans="3:5" x14ac:dyDescent="0.25">
      <c r="C118" t="str">
        <f>_xlfn.IFNA(VLOOKUP($B118,Atletas!$A:$D,2),"")</f>
        <v/>
      </c>
      <c r="D118" t="str">
        <f>_xlfn.IFNA(VLOOKUP($B118,Atletas!$A:$D,3),"")</f>
        <v/>
      </c>
      <c r="E118" t="str">
        <f>_xlfn.IFNA(VLOOKUP($B118,Atletas!$A:$D,4),"")</f>
        <v/>
      </c>
    </row>
    <row r="119" spans="3:5" x14ac:dyDescent="0.25">
      <c r="C119" t="str">
        <f>_xlfn.IFNA(VLOOKUP($B119,Atletas!$A:$D,2),"")</f>
        <v/>
      </c>
      <c r="D119" t="str">
        <f>_xlfn.IFNA(VLOOKUP($B119,Atletas!$A:$D,3),"")</f>
        <v/>
      </c>
      <c r="E119" t="str">
        <f>_xlfn.IFNA(VLOOKUP($B119,Atletas!$A:$D,4),"")</f>
        <v/>
      </c>
    </row>
    <row r="120" spans="3:5" x14ac:dyDescent="0.25">
      <c r="C120" t="str">
        <f>_xlfn.IFNA(VLOOKUP($B120,Atletas!$A:$D,2),"")</f>
        <v/>
      </c>
      <c r="D120" t="str">
        <f>_xlfn.IFNA(VLOOKUP($B120,Atletas!$A:$D,3),"")</f>
        <v/>
      </c>
      <c r="E120" t="str">
        <f>_xlfn.IFNA(VLOOKUP($B120,Atletas!$A:$D,4),"")</f>
        <v/>
      </c>
    </row>
    <row r="121" spans="3:5" x14ac:dyDescent="0.25">
      <c r="C121" t="str">
        <f>_xlfn.IFNA(VLOOKUP($B121,Atletas!$A:$D,2),"")</f>
        <v/>
      </c>
      <c r="D121" t="str">
        <f>_xlfn.IFNA(VLOOKUP($B121,Atletas!$A:$D,3),"")</f>
        <v/>
      </c>
      <c r="E121" t="str">
        <f>_xlfn.IFNA(VLOOKUP($B121,Atletas!$A:$D,4),"")</f>
        <v/>
      </c>
    </row>
    <row r="122" spans="3:5" x14ac:dyDescent="0.25">
      <c r="C122" t="str">
        <f>_xlfn.IFNA(VLOOKUP($B122,Atletas!$A:$D,2),"")</f>
        <v/>
      </c>
      <c r="D122" t="str">
        <f>_xlfn.IFNA(VLOOKUP($B122,Atletas!$A:$D,3),"")</f>
        <v/>
      </c>
      <c r="E122" t="str">
        <f>_xlfn.IFNA(VLOOKUP($B122,Atletas!$A:$D,4),"")</f>
        <v/>
      </c>
    </row>
    <row r="123" spans="3:5" x14ac:dyDescent="0.25">
      <c r="C123" t="str">
        <f>_xlfn.IFNA(VLOOKUP($B123,Atletas!$A:$D,2),"")</f>
        <v/>
      </c>
      <c r="D123" t="str">
        <f>_xlfn.IFNA(VLOOKUP($B123,Atletas!$A:$D,3),"")</f>
        <v/>
      </c>
      <c r="E123" t="str">
        <f>_xlfn.IFNA(VLOOKUP($B123,Atletas!$A:$D,4),"")</f>
        <v/>
      </c>
    </row>
    <row r="124" spans="3:5" x14ac:dyDescent="0.25">
      <c r="C124" t="str">
        <f>_xlfn.IFNA(VLOOKUP($B124,Atletas!$A:$D,2),"")</f>
        <v/>
      </c>
      <c r="D124" t="str">
        <f>_xlfn.IFNA(VLOOKUP($B124,Atletas!$A:$D,3),"")</f>
        <v/>
      </c>
      <c r="E124" t="str">
        <f>_xlfn.IFNA(VLOOKUP($B124,Atletas!$A:$D,4),"")</f>
        <v/>
      </c>
    </row>
    <row r="125" spans="3:5" x14ac:dyDescent="0.25">
      <c r="C125" t="str">
        <f>_xlfn.IFNA(VLOOKUP($B125,Atletas!$A:$D,2),"")</f>
        <v/>
      </c>
      <c r="D125" t="str">
        <f>_xlfn.IFNA(VLOOKUP($B125,Atletas!$A:$D,3),"")</f>
        <v/>
      </c>
      <c r="E125" t="str">
        <f>_xlfn.IFNA(VLOOKUP($B125,Atletas!$A:$D,4),"")</f>
        <v/>
      </c>
    </row>
    <row r="126" spans="3:5" x14ac:dyDescent="0.25">
      <c r="C126" t="str">
        <f>_xlfn.IFNA(VLOOKUP($B126,Atletas!$A:$D,2),"")</f>
        <v/>
      </c>
      <c r="D126" t="str">
        <f>_xlfn.IFNA(VLOOKUP($B126,Atletas!$A:$D,3),"")</f>
        <v/>
      </c>
      <c r="E126" t="str">
        <f>_xlfn.IFNA(VLOOKUP($B126,Atletas!$A:$D,4),"")</f>
        <v/>
      </c>
    </row>
    <row r="127" spans="3:5" x14ac:dyDescent="0.25">
      <c r="C127" t="str">
        <f>_xlfn.IFNA(VLOOKUP($B127,Atletas!$A:$D,2),"")</f>
        <v/>
      </c>
      <c r="D127" t="str">
        <f>_xlfn.IFNA(VLOOKUP($B127,Atletas!$A:$D,3),"")</f>
        <v/>
      </c>
      <c r="E127" t="str">
        <f>_xlfn.IFNA(VLOOKUP($B127,Atletas!$A:$D,4),"")</f>
        <v/>
      </c>
    </row>
    <row r="128" spans="3:5" x14ac:dyDescent="0.25">
      <c r="C128" t="str">
        <f>_xlfn.IFNA(VLOOKUP($B128,Atletas!$A:$D,2),"")</f>
        <v/>
      </c>
      <c r="D128" t="str">
        <f>_xlfn.IFNA(VLOOKUP($B128,Atletas!$A:$D,3),"")</f>
        <v/>
      </c>
      <c r="E128" t="str">
        <f>_xlfn.IFNA(VLOOKUP($B128,Atletas!$A:$D,4),"")</f>
        <v/>
      </c>
    </row>
    <row r="129" spans="3:5" x14ac:dyDescent="0.25">
      <c r="C129" t="str">
        <f>_xlfn.IFNA(VLOOKUP($B129,Atletas!$A:$D,2),"")</f>
        <v/>
      </c>
      <c r="D129" t="str">
        <f>_xlfn.IFNA(VLOOKUP($B129,Atletas!$A:$D,3),"")</f>
        <v/>
      </c>
      <c r="E129" t="str">
        <f>_xlfn.IFNA(VLOOKUP($B129,Atletas!$A:$D,4),"")</f>
        <v/>
      </c>
    </row>
    <row r="130" spans="3:5" x14ac:dyDescent="0.25">
      <c r="C130" t="str">
        <f>_xlfn.IFNA(VLOOKUP($B130,Atletas!$A:$D,2),"")</f>
        <v/>
      </c>
      <c r="D130" t="str">
        <f>_xlfn.IFNA(VLOOKUP($B130,Atletas!$A:$D,3),"")</f>
        <v/>
      </c>
      <c r="E130" t="str">
        <f>_xlfn.IFNA(VLOOKUP($B130,Atletas!$A:$D,4),"")</f>
        <v/>
      </c>
    </row>
    <row r="131" spans="3:5" x14ac:dyDescent="0.25">
      <c r="C131" t="str">
        <f>_xlfn.IFNA(VLOOKUP($B131,Atletas!$A:$D,2),"")</f>
        <v/>
      </c>
      <c r="D131" t="str">
        <f>_xlfn.IFNA(VLOOKUP($B131,Atletas!$A:$D,3),"")</f>
        <v/>
      </c>
      <c r="E131" t="str">
        <f>_xlfn.IFNA(VLOOKUP($B131,Atletas!$A:$D,4),"")</f>
        <v/>
      </c>
    </row>
    <row r="132" spans="3:5" x14ac:dyDescent="0.25">
      <c r="C132" t="str">
        <f>_xlfn.IFNA(VLOOKUP($B132,Atletas!$A:$D,2),"")</f>
        <v/>
      </c>
      <c r="D132" t="str">
        <f>_xlfn.IFNA(VLOOKUP($B132,Atletas!$A:$D,3),"")</f>
        <v/>
      </c>
      <c r="E132" t="str">
        <f>_xlfn.IFNA(VLOOKUP($B132,Atletas!$A:$D,4),"")</f>
        <v/>
      </c>
    </row>
    <row r="133" spans="3:5" x14ac:dyDescent="0.25">
      <c r="C133" t="str">
        <f>_xlfn.IFNA(VLOOKUP($B133,Atletas!$A:$D,2),"")</f>
        <v/>
      </c>
      <c r="D133" t="str">
        <f>_xlfn.IFNA(VLOOKUP($B133,Atletas!$A:$D,3),"")</f>
        <v/>
      </c>
      <c r="E133" t="str">
        <f>_xlfn.IFNA(VLOOKUP($B133,Atletas!$A:$D,4),"")</f>
        <v/>
      </c>
    </row>
    <row r="134" spans="3:5" x14ac:dyDescent="0.25">
      <c r="C134" t="str">
        <f>_xlfn.IFNA(VLOOKUP($B134,Atletas!$A:$D,2),"")</f>
        <v/>
      </c>
      <c r="D134" t="str">
        <f>_xlfn.IFNA(VLOOKUP($B134,Atletas!$A:$D,3),"")</f>
        <v/>
      </c>
      <c r="E134" t="str">
        <f>_xlfn.IFNA(VLOOKUP($B134,Atletas!$A:$D,4),"")</f>
        <v/>
      </c>
    </row>
    <row r="135" spans="3:5" x14ac:dyDescent="0.25">
      <c r="C135" t="str">
        <f>_xlfn.IFNA(VLOOKUP($B135,Atletas!$A:$D,2),"")</f>
        <v/>
      </c>
      <c r="D135" t="str">
        <f>_xlfn.IFNA(VLOOKUP($B135,Atletas!$A:$D,3),"")</f>
        <v/>
      </c>
      <c r="E135" t="str">
        <f>_xlfn.IFNA(VLOOKUP($B135,Atletas!$A:$D,4),"")</f>
        <v/>
      </c>
    </row>
    <row r="136" spans="3:5" x14ac:dyDescent="0.25">
      <c r="C136" t="str">
        <f>_xlfn.IFNA(VLOOKUP($B136,Atletas!$A:$D,2),"")</f>
        <v/>
      </c>
      <c r="D136" t="str">
        <f>_xlfn.IFNA(VLOOKUP($B136,Atletas!$A:$D,3),"")</f>
        <v/>
      </c>
      <c r="E136" t="str">
        <f>_xlfn.IFNA(VLOOKUP($B136,Atletas!$A:$D,4),"")</f>
        <v/>
      </c>
    </row>
    <row r="137" spans="3:5" x14ac:dyDescent="0.25">
      <c r="C137" t="str">
        <f>_xlfn.IFNA(VLOOKUP($B137,Atletas!$A:$D,2),"")</f>
        <v/>
      </c>
      <c r="D137" t="str">
        <f>_xlfn.IFNA(VLOOKUP($B137,Atletas!$A:$D,3),"")</f>
        <v/>
      </c>
      <c r="E137" t="str">
        <f>_xlfn.IFNA(VLOOKUP($B137,Atletas!$A:$D,4),"")</f>
        <v/>
      </c>
    </row>
    <row r="138" spans="3:5" x14ac:dyDescent="0.25">
      <c r="C138" t="str">
        <f>_xlfn.IFNA(VLOOKUP($B138,Atletas!$A:$D,2),"")</f>
        <v/>
      </c>
      <c r="D138" t="str">
        <f>_xlfn.IFNA(VLOOKUP($B138,Atletas!$A:$D,3),"")</f>
        <v/>
      </c>
      <c r="E138" t="str">
        <f>_xlfn.IFNA(VLOOKUP($B138,Atletas!$A:$D,4),"")</f>
        <v/>
      </c>
    </row>
    <row r="139" spans="3:5" x14ac:dyDescent="0.25">
      <c r="C139" t="str">
        <f>_xlfn.IFNA(VLOOKUP($B139,Atletas!$A:$D,2),"")</f>
        <v/>
      </c>
      <c r="D139" t="str">
        <f>_xlfn.IFNA(VLOOKUP($B139,Atletas!$A:$D,3),"")</f>
        <v/>
      </c>
      <c r="E139" t="str">
        <f>_xlfn.IFNA(VLOOKUP($B139,Atletas!$A:$D,4),"")</f>
        <v/>
      </c>
    </row>
    <row r="140" spans="3:5" x14ac:dyDescent="0.25">
      <c r="C140" t="str">
        <f>_xlfn.IFNA(VLOOKUP($B140,Atletas!$A:$D,2),"")</f>
        <v/>
      </c>
      <c r="D140" t="str">
        <f>_xlfn.IFNA(VLOOKUP($B140,Atletas!$A:$D,3),"")</f>
        <v/>
      </c>
      <c r="E140" t="str">
        <f>_xlfn.IFNA(VLOOKUP($B140,Atletas!$A:$D,4),"")</f>
        <v/>
      </c>
    </row>
  </sheetData>
  <dataValidations count="3">
    <dataValidation type="custom" allowBlank="1" showInputMessage="1" showErrorMessage="1" sqref="E2" xr:uid="{BA194060-15BB-4F36-B1DB-058A10BF35E3}">
      <formula1>IF(E3="Benjamin F",1)</formula1>
    </dataValidation>
    <dataValidation type="custom" allowBlank="1" showInputMessage="1" showErrorMessage="1" sqref="E1 E3:E1048576" xr:uid="{F84057B8-FB70-441A-A72A-265FA0159057}">
      <formula1>IF(E2="Benjamin-F",1)</formula1>
    </dataValidation>
    <dataValidation type="custom" allowBlank="1" showInputMessage="1" showErrorMessage="1" errorTitle="Atleta já registado" error="Este atleta já foi registado!" sqref="B1:B1048576" xr:uid="{31224979-360E-4811-8291-43968B495218}">
      <formula1>COUNTIF(B:B,B1)=1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SalvarSheetComoPDF">
                <anchor moveWithCells="1" sizeWithCells="1">
                  <from>
                    <xdr:col>7</xdr:col>
                    <xdr:colOff>0</xdr:colOff>
                    <xdr:row>0</xdr:row>
                    <xdr:rowOff>95250</xdr:rowOff>
                  </from>
                  <to>
                    <xdr:col>10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67ED5-57C7-4C3E-91B1-F7E49B63B7C4}">
  <sheetPr codeName="Sheet7"/>
  <dimension ref="A1:E140"/>
  <sheetViews>
    <sheetView showGridLines="0" workbookViewId="0">
      <selection activeCell="C16" sqref="C16"/>
    </sheetView>
  </sheetViews>
  <sheetFormatPr defaultRowHeight="15" x14ac:dyDescent="0.25"/>
  <cols>
    <col min="1" max="1" width="6.42578125" customWidth="1"/>
    <col min="2" max="2" width="8.28515625" customWidth="1"/>
    <col min="3" max="3" width="34.28515625" customWidth="1"/>
    <col min="4" max="4" width="23.5703125" customWidth="1"/>
    <col min="5" max="5" width="12.85546875" customWidth="1"/>
  </cols>
  <sheetData>
    <row r="1" spans="1:5" x14ac:dyDescent="0.25">
      <c r="A1" t="s">
        <v>51</v>
      </c>
      <c r="B1" t="s">
        <v>1</v>
      </c>
      <c r="C1" t="s">
        <v>49</v>
      </c>
      <c r="D1" t="s">
        <v>2</v>
      </c>
      <c r="E1" t="s">
        <v>3</v>
      </c>
    </row>
    <row r="2" spans="1:5" x14ac:dyDescent="0.25">
      <c r="A2">
        <v>1</v>
      </c>
      <c r="B2">
        <v>13</v>
      </c>
      <c r="C2" s="1" t="str">
        <f>_xlfn.IFNA(VLOOKUP($B2,Atletas!$A:$D,2,FALSE),"")</f>
        <v>Dummy 13</v>
      </c>
      <c r="D2" s="1" t="str">
        <f>_xlfn.IFNA(VLOOKUP($B2,Atletas!$A:$D,3),"")</f>
        <v>A</v>
      </c>
      <c r="E2" s="1" t="str">
        <f>_xlfn.IFNA(VLOOKUP($B2,Atletas!$A:$D,4),"")</f>
        <v>Juv M</v>
      </c>
    </row>
    <row r="3" spans="1:5" x14ac:dyDescent="0.25">
      <c r="A3">
        <v>2</v>
      </c>
      <c r="B3">
        <v>14</v>
      </c>
      <c r="C3" s="1" t="str">
        <f>_xlfn.IFNA(VLOOKUP($B3,Atletas!$A:$D,2,FALSE),"")</f>
        <v>Dummy 14</v>
      </c>
      <c r="D3" s="1" t="str">
        <f>_xlfn.IFNA(VLOOKUP($B3,Atletas!$A:$D,3),"")</f>
        <v>C</v>
      </c>
      <c r="E3" s="1" t="str">
        <f>_xlfn.IFNA(VLOOKUP($B3,Atletas!$A:$D,4),"")</f>
        <v>Juv M</v>
      </c>
    </row>
    <row r="4" spans="1:5" x14ac:dyDescent="0.25">
      <c r="A4">
        <v>3</v>
      </c>
      <c r="B4">
        <v>15</v>
      </c>
      <c r="C4" s="1" t="str">
        <f>_xlfn.IFNA(VLOOKUP($B4,Atletas!$A:$D,2,FALSE),"")</f>
        <v>Dummy 15</v>
      </c>
      <c r="D4" s="1" t="str">
        <f>_xlfn.IFNA(VLOOKUP($B4,Atletas!$A:$D,3),"")</f>
        <v>C</v>
      </c>
      <c r="E4" s="1" t="str">
        <f>_xlfn.IFNA(VLOOKUP($B4,Atletas!$A:$D,4),"")</f>
        <v>Juv M</v>
      </c>
    </row>
    <row r="5" spans="1:5" x14ac:dyDescent="0.25">
      <c r="A5">
        <v>4</v>
      </c>
      <c r="B5">
        <v>16</v>
      </c>
      <c r="C5" s="1" t="str">
        <f>_xlfn.IFNA(VLOOKUP($B5,Atletas!$A:$D,2,FALSE),"")</f>
        <v>Dummy 16</v>
      </c>
      <c r="D5" s="1" t="str">
        <f>_xlfn.IFNA(VLOOKUP($B5,Atletas!$A:$D,3),"")</f>
        <v>A</v>
      </c>
      <c r="E5" s="1" t="str">
        <f>_xlfn.IFNA(VLOOKUP($B5,Atletas!$A:$D,4),"")</f>
        <v>Juv M</v>
      </c>
    </row>
    <row r="6" spans="1:5" x14ac:dyDescent="0.25">
      <c r="A6">
        <v>5</v>
      </c>
      <c r="B6">
        <v>17</v>
      </c>
      <c r="C6" s="1" t="str">
        <f>_xlfn.IFNA(VLOOKUP($B6,Atletas!$A:$D,2,FALSE),"")</f>
        <v>Dummy 17</v>
      </c>
      <c r="D6" s="1" t="str">
        <f>_xlfn.IFNA(VLOOKUP($B6,Atletas!$A:$D,3),"")</f>
        <v>B</v>
      </c>
      <c r="E6" s="1" t="str">
        <f>_xlfn.IFNA(VLOOKUP($B6,Atletas!$A:$D,4),"")</f>
        <v>Juv M</v>
      </c>
    </row>
    <row r="7" spans="1:5" x14ac:dyDescent="0.25">
      <c r="A7">
        <v>6</v>
      </c>
      <c r="B7">
        <v>18</v>
      </c>
      <c r="C7" s="1" t="str">
        <f>_xlfn.IFNA(VLOOKUP($B7,Atletas!$A:$D,2,FALSE),"")</f>
        <v>Dummy 18</v>
      </c>
      <c r="D7" s="1" t="str">
        <f>_xlfn.IFNA(VLOOKUP($B7,Atletas!$A:$D,3),"")</f>
        <v>B</v>
      </c>
      <c r="E7" s="1" t="str">
        <f>_xlfn.IFNA(VLOOKUP($B7,Atletas!$A:$D,4),"")</f>
        <v>Juv M</v>
      </c>
    </row>
    <row r="8" spans="1:5" x14ac:dyDescent="0.25">
      <c r="A8">
        <v>7</v>
      </c>
      <c r="B8">
        <v>19</v>
      </c>
      <c r="C8" s="1" t="str">
        <f>_xlfn.IFNA(VLOOKUP($B8,Atletas!$A:$D,2,FALSE),"")</f>
        <v>Dummy 19</v>
      </c>
      <c r="D8" s="1" t="str">
        <f>_xlfn.IFNA(VLOOKUP($B8,Atletas!$A:$D,3),"")</f>
        <v>A</v>
      </c>
      <c r="E8" s="1" t="str">
        <f>_xlfn.IFNA(VLOOKUP($B8,Atletas!$A:$D,4),"")</f>
        <v>Juv M</v>
      </c>
    </row>
    <row r="9" spans="1:5" x14ac:dyDescent="0.25">
      <c r="C9" s="1" t="str">
        <f>_xlfn.IFNA(VLOOKUP($B9,Atletas!$A:$D,2,FALSE),"")</f>
        <v/>
      </c>
      <c r="D9" s="1" t="str">
        <f>_xlfn.IFNA(VLOOKUP($B9,Atletas!$A:$D,3),"")</f>
        <v/>
      </c>
      <c r="E9" s="1" t="str">
        <f>_xlfn.IFNA(VLOOKUP($B9,Atletas!$A:$D,4),"")</f>
        <v/>
      </c>
    </row>
    <row r="10" spans="1:5" x14ac:dyDescent="0.25">
      <c r="C10" s="1" t="str">
        <f>_xlfn.IFNA(VLOOKUP($B10,Atletas!$A:$D,2,FALSE),"")</f>
        <v/>
      </c>
      <c r="D10" s="1" t="str">
        <f>_xlfn.IFNA(VLOOKUP($B10,Atletas!$A:$D,3),"")</f>
        <v/>
      </c>
      <c r="E10" s="1" t="str">
        <f>_xlfn.IFNA(VLOOKUP($B10,Atletas!$A:$D,4),"")</f>
        <v/>
      </c>
    </row>
    <row r="11" spans="1:5" x14ac:dyDescent="0.25">
      <c r="C11" s="1" t="str">
        <f>_xlfn.IFNA(VLOOKUP($B11,Atletas!$A:$D,2,FALSE),"")</f>
        <v/>
      </c>
      <c r="D11" s="1" t="str">
        <f>_xlfn.IFNA(VLOOKUP($B11,Atletas!$A:$D,3),"")</f>
        <v/>
      </c>
      <c r="E11" s="1" t="str">
        <f>_xlfn.IFNA(VLOOKUP($B11,Atletas!$A:$D,4),"")</f>
        <v/>
      </c>
    </row>
    <row r="12" spans="1:5" x14ac:dyDescent="0.25">
      <c r="C12" s="1" t="str">
        <f>_xlfn.IFNA(VLOOKUP($B12,Atletas!$A:$D,2,FALSE),"")</f>
        <v/>
      </c>
      <c r="D12" s="1" t="str">
        <f>_xlfn.IFNA(VLOOKUP($B12,Atletas!$A:$D,3),"")</f>
        <v/>
      </c>
      <c r="E12" s="1" t="str">
        <f>_xlfn.IFNA(VLOOKUP($B12,Atletas!$A:$D,4),"")</f>
        <v/>
      </c>
    </row>
    <row r="13" spans="1:5" x14ac:dyDescent="0.25">
      <c r="C13" t="str">
        <f>_xlfn.IFNA(VLOOKUP($B13,Atletas!$A:$D,2),"")</f>
        <v/>
      </c>
      <c r="D13" t="str">
        <f>_xlfn.IFNA(VLOOKUP($B13,Atletas!$A:$D,3),"")</f>
        <v/>
      </c>
      <c r="E13" t="str">
        <f>_xlfn.IFNA(VLOOKUP($B13,Atletas!$A:$D,4),"")</f>
        <v/>
      </c>
    </row>
    <row r="14" spans="1:5" x14ac:dyDescent="0.25">
      <c r="C14" t="str">
        <f>_xlfn.IFNA(VLOOKUP($B14,Atletas!$A:$D,2),"")</f>
        <v/>
      </c>
      <c r="D14" t="str">
        <f>_xlfn.IFNA(VLOOKUP($B14,Atletas!$A:$D,3),"")</f>
        <v/>
      </c>
      <c r="E14" t="str">
        <f>_xlfn.IFNA(VLOOKUP($B14,Atletas!$A:$D,4),"")</f>
        <v/>
      </c>
    </row>
    <row r="15" spans="1:5" x14ac:dyDescent="0.25">
      <c r="C15" t="str">
        <f>_xlfn.IFNA(VLOOKUP($B15,Atletas!$A:$D,2),"")</f>
        <v/>
      </c>
      <c r="D15" t="str">
        <f>_xlfn.IFNA(VLOOKUP($B15,Atletas!$A:$D,3),"")</f>
        <v/>
      </c>
      <c r="E15" t="str">
        <f>_xlfn.IFNA(VLOOKUP($B15,Atletas!$A:$D,4),"")</f>
        <v/>
      </c>
    </row>
    <row r="16" spans="1:5" x14ac:dyDescent="0.25">
      <c r="C16" t="str">
        <f>_xlfn.IFNA(VLOOKUP($B16,Atletas!$A:$D,2),"")</f>
        <v/>
      </c>
      <c r="D16" t="str">
        <f>_xlfn.IFNA(VLOOKUP($B16,Atletas!$A:$D,3),"")</f>
        <v/>
      </c>
      <c r="E16" t="str">
        <f>_xlfn.IFNA(VLOOKUP($B16,Atletas!$A:$D,4),"")</f>
        <v/>
      </c>
    </row>
    <row r="17" spans="3:5" x14ac:dyDescent="0.25">
      <c r="C17" t="str">
        <f>_xlfn.IFNA(VLOOKUP($B17,Atletas!$A:$D,2),"")</f>
        <v/>
      </c>
      <c r="D17" t="str">
        <f>_xlfn.IFNA(VLOOKUP($B17,Atletas!$A:$D,3),"")</f>
        <v/>
      </c>
      <c r="E17" t="str">
        <f>_xlfn.IFNA(VLOOKUP($B17,Atletas!$A:$D,4),"")</f>
        <v/>
      </c>
    </row>
    <row r="18" spans="3:5" x14ac:dyDescent="0.25">
      <c r="C18" t="str">
        <f>_xlfn.IFNA(VLOOKUP($B18,Atletas!$A:$D,2),"")</f>
        <v/>
      </c>
      <c r="D18" t="str">
        <f>_xlfn.IFNA(VLOOKUP($B18,Atletas!$A:$D,3),"")</f>
        <v/>
      </c>
      <c r="E18" t="str">
        <f>_xlfn.IFNA(VLOOKUP($B18,Atletas!$A:$D,4),"")</f>
        <v/>
      </c>
    </row>
    <row r="19" spans="3:5" x14ac:dyDescent="0.25">
      <c r="C19" t="str">
        <f>_xlfn.IFNA(VLOOKUP($B19,Atletas!$A:$D,2),"")</f>
        <v/>
      </c>
      <c r="D19" t="str">
        <f>_xlfn.IFNA(VLOOKUP($B19,Atletas!$A:$D,3),"")</f>
        <v/>
      </c>
      <c r="E19" t="str">
        <f>_xlfn.IFNA(VLOOKUP($B19,Atletas!$A:$D,4),"")</f>
        <v/>
      </c>
    </row>
    <row r="20" spans="3:5" x14ac:dyDescent="0.25">
      <c r="C20" t="str">
        <f>_xlfn.IFNA(VLOOKUP($B20,Atletas!$A:$D,2),"")</f>
        <v/>
      </c>
      <c r="D20" t="str">
        <f>_xlfn.IFNA(VLOOKUP($B20,Atletas!$A:$D,3),"")</f>
        <v/>
      </c>
      <c r="E20" t="str">
        <f>_xlfn.IFNA(VLOOKUP($B20,Atletas!$A:$D,4),"")</f>
        <v/>
      </c>
    </row>
    <row r="21" spans="3:5" x14ac:dyDescent="0.25">
      <c r="C21" t="str">
        <f>_xlfn.IFNA(VLOOKUP($B21,Atletas!$A:$D,2),"")</f>
        <v/>
      </c>
      <c r="D21" t="str">
        <f>_xlfn.IFNA(VLOOKUP($B21,Atletas!$A:$D,3),"")</f>
        <v/>
      </c>
      <c r="E21" t="str">
        <f>_xlfn.IFNA(VLOOKUP($B21,Atletas!$A:$D,4),"")</f>
        <v/>
      </c>
    </row>
    <row r="22" spans="3:5" x14ac:dyDescent="0.25">
      <c r="C22" t="str">
        <f>_xlfn.IFNA(VLOOKUP($B22,Atletas!$A:$D,2),"")</f>
        <v/>
      </c>
      <c r="D22" t="str">
        <f>_xlfn.IFNA(VLOOKUP($B22,Atletas!$A:$D,3),"")</f>
        <v/>
      </c>
      <c r="E22" t="str">
        <f>_xlfn.IFNA(VLOOKUP($B22,Atletas!$A:$D,4),"")</f>
        <v/>
      </c>
    </row>
    <row r="23" spans="3:5" x14ac:dyDescent="0.25">
      <c r="C23" t="str">
        <f>_xlfn.IFNA(VLOOKUP($B23,Atletas!$A:$D,2),"")</f>
        <v/>
      </c>
      <c r="D23" t="str">
        <f>_xlfn.IFNA(VLOOKUP($B23,Atletas!$A:$D,3),"")</f>
        <v/>
      </c>
      <c r="E23" t="str">
        <f>_xlfn.IFNA(VLOOKUP($B23,Atletas!$A:$D,4),"")</f>
        <v/>
      </c>
    </row>
    <row r="24" spans="3:5" x14ac:dyDescent="0.25">
      <c r="C24" t="str">
        <f>_xlfn.IFNA(VLOOKUP($B24,Atletas!$A:$D,2),"")</f>
        <v/>
      </c>
      <c r="D24" t="str">
        <f>_xlfn.IFNA(VLOOKUP($B24,Atletas!$A:$D,3),"")</f>
        <v/>
      </c>
      <c r="E24" t="str">
        <f>_xlfn.IFNA(VLOOKUP($B24,Atletas!$A:$D,4),"")</f>
        <v/>
      </c>
    </row>
    <row r="25" spans="3:5" x14ac:dyDescent="0.25">
      <c r="C25" t="str">
        <f>_xlfn.IFNA(VLOOKUP($B25,Atletas!$A:$D,2),"")</f>
        <v/>
      </c>
      <c r="D25" t="str">
        <f>_xlfn.IFNA(VLOOKUP($B25,Atletas!$A:$D,3),"")</f>
        <v/>
      </c>
      <c r="E25" t="str">
        <f>_xlfn.IFNA(VLOOKUP($B25,Atletas!$A:$D,4),"")</f>
        <v/>
      </c>
    </row>
    <row r="26" spans="3:5" x14ac:dyDescent="0.25">
      <c r="C26" t="str">
        <f>_xlfn.IFNA(VLOOKUP($B26,Atletas!$A:$D,2),"")</f>
        <v/>
      </c>
      <c r="D26" t="str">
        <f>_xlfn.IFNA(VLOOKUP($B26,Atletas!$A:$D,3),"")</f>
        <v/>
      </c>
      <c r="E26" t="str">
        <f>_xlfn.IFNA(VLOOKUP($B26,Atletas!$A:$D,4),"")</f>
        <v/>
      </c>
    </row>
    <row r="27" spans="3:5" x14ac:dyDescent="0.25">
      <c r="C27" t="str">
        <f>_xlfn.IFNA(VLOOKUP($B27,Atletas!$A:$D,2),"")</f>
        <v/>
      </c>
      <c r="D27" t="str">
        <f>_xlfn.IFNA(VLOOKUP($B27,Atletas!$A:$D,3),"")</f>
        <v/>
      </c>
      <c r="E27" t="str">
        <f>_xlfn.IFNA(VLOOKUP($B27,Atletas!$A:$D,4),"")</f>
        <v/>
      </c>
    </row>
    <row r="28" spans="3:5" x14ac:dyDescent="0.25">
      <c r="C28" t="str">
        <f>_xlfn.IFNA(VLOOKUP($B28,Atletas!$A:$D,2),"")</f>
        <v/>
      </c>
      <c r="D28" t="str">
        <f>_xlfn.IFNA(VLOOKUP($B28,Atletas!$A:$D,3),"")</f>
        <v/>
      </c>
      <c r="E28" t="str">
        <f>_xlfn.IFNA(VLOOKUP($B28,Atletas!$A:$D,4),"")</f>
        <v/>
      </c>
    </row>
    <row r="29" spans="3:5" x14ac:dyDescent="0.25">
      <c r="C29" t="str">
        <f>_xlfn.IFNA(VLOOKUP($B29,Atletas!$A:$D,2),"")</f>
        <v/>
      </c>
      <c r="D29" t="str">
        <f>_xlfn.IFNA(VLOOKUP($B29,Atletas!$A:$D,3),"")</f>
        <v/>
      </c>
      <c r="E29" t="str">
        <f>_xlfn.IFNA(VLOOKUP($B29,Atletas!$A:$D,4),"")</f>
        <v/>
      </c>
    </row>
    <row r="30" spans="3:5" x14ac:dyDescent="0.25">
      <c r="C30" t="str">
        <f>_xlfn.IFNA(VLOOKUP($B30,Atletas!$A:$D,2),"")</f>
        <v/>
      </c>
      <c r="D30" t="str">
        <f>_xlfn.IFNA(VLOOKUP($B30,Atletas!$A:$D,3),"")</f>
        <v/>
      </c>
      <c r="E30" t="str">
        <f>_xlfn.IFNA(VLOOKUP($B30,Atletas!$A:$D,4),"")</f>
        <v/>
      </c>
    </row>
    <row r="31" spans="3:5" x14ac:dyDescent="0.25">
      <c r="C31" t="str">
        <f>_xlfn.IFNA(VLOOKUP($B31,Atletas!$A:$D,2),"")</f>
        <v/>
      </c>
      <c r="D31" t="str">
        <f>_xlfn.IFNA(VLOOKUP($B31,Atletas!$A:$D,3),"")</f>
        <v/>
      </c>
      <c r="E31" t="str">
        <f>_xlfn.IFNA(VLOOKUP($B31,Atletas!$A:$D,4),"")</f>
        <v/>
      </c>
    </row>
    <row r="32" spans="3:5" x14ac:dyDescent="0.25">
      <c r="C32" t="str">
        <f>_xlfn.IFNA(VLOOKUP($B32,Atletas!$A:$D,2),"")</f>
        <v/>
      </c>
      <c r="D32" t="str">
        <f>_xlfn.IFNA(VLOOKUP($B32,Atletas!$A:$D,3),"")</f>
        <v/>
      </c>
      <c r="E32" t="str">
        <f>_xlfn.IFNA(VLOOKUP($B32,Atletas!$A:$D,4),"")</f>
        <v/>
      </c>
    </row>
    <row r="33" spans="3:5" x14ac:dyDescent="0.25">
      <c r="C33" t="str">
        <f>_xlfn.IFNA(VLOOKUP($B33,Atletas!$A:$D,2),"")</f>
        <v/>
      </c>
      <c r="D33" t="str">
        <f>_xlfn.IFNA(VLOOKUP($B33,Atletas!$A:$D,3),"")</f>
        <v/>
      </c>
      <c r="E33" t="str">
        <f>_xlfn.IFNA(VLOOKUP($B33,Atletas!$A:$D,4),"")</f>
        <v/>
      </c>
    </row>
    <row r="34" spans="3:5" x14ac:dyDescent="0.25">
      <c r="C34" t="str">
        <f>_xlfn.IFNA(VLOOKUP($B34,Atletas!$A:$D,2),"")</f>
        <v/>
      </c>
      <c r="D34" t="str">
        <f>_xlfn.IFNA(VLOOKUP($B34,Atletas!$A:$D,3),"")</f>
        <v/>
      </c>
      <c r="E34" t="str">
        <f>_xlfn.IFNA(VLOOKUP($B34,Atletas!$A:$D,4),"")</f>
        <v/>
      </c>
    </row>
    <row r="35" spans="3:5" x14ac:dyDescent="0.25">
      <c r="C35" t="str">
        <f>_xlfn.IFNA(VLOOKUP($B35,Atletas!$A:$D,2),"")</f>
        <v/>
      </c>
      <c r="D35" t="str">
        <f>_xlfn.IFNA(VLOOKUP($B35,Atletas!$A:$D,3),"")</f>
        <v/>
      </c>
      <c r="E35" t="str">
        <f>_xlfn.IFNA(VLOOKUP($B35,Atletas!$A:$D,4),"")</f>
        <v/>
      </c>
    </row>
    <row r="36" spans="3:5" x14ac:dyDescent="0.25">
      <c r="C36" t="str">
        <f>_xlfn.IFNA(VLOOKUP($B36,Atletas!$A:$D,2),"")</f>
        <v/>
      </c>
      <c r="D36" t="str">
        <f>_xlfn.IFNA(VLOOKUP($B36,Atletas!$A:$D,3),"")</f>
        <v/>
      </c>
      <c r="E36" t="str">
        <f>_xlfn.IFNA(VLOOKUP($B36,Atletas!$A:$D,4),"")</f>
        <v/>
      </c>
    </row>
    <row r="37" spans="3:5" x14ac:dyDescent="0.25">
      <c r="C37" t="str">
        <f>_xlfn.IFNA(VLOOKUP($B37,Atletas!$A:$D,2),"")</f>
        <v/>
      </c>
      <c r="D37" t="str">
        <f>_xlfn.IFNA(VLOOKUP($B37,Atletas!$A:$D,3),"")</f>
        <v/>
      </c>
      <c r="E37" t="str">
        <f>_xlfn.IFNA(VLOOKUP($B37,Atletas!$A:$D,4),"")</f>
        <v/>
      </c>
    </row>
    <row r="38" spans="3:5" x14ac:dyDescent="0.25">
      <c r="C38" t="str">
        <f>_xlfn.IFNA(VLOOKUP($B38,Atletas!$A:$D,2),"")</f>
        <v/>
      </c>
      <c r="D38" t="str">
        <f>_xlfn.IFNA(VLOOKUP($B38,Atletas!$A:$D,3),"")</f>
        <v/>
      </c>
      <c r="E38" t="str">
        <f>_xlfn.IFNA(VLOOKUP($B38,Atletas!$A:$D,4),"")</f>
        <v/>
      </c>
    </row>
    <row r="39" spans="3:5" x14ac:dyDescent="0.25">
      <c r="C39" t="str">
        <f>_xlfn.IFNA(VLOOKUP($B39,Atletas!$A:$D,2),"")</f>
        <v/>
      </c>
      <c r="D39" t="str">
        <f>_xlfn.IFNA(VLOOKUP($B39,Atletas!$A:$D,3),"")</f>
        <v/>
      </c>
      <c r="E39" t="str">
        <f>_xlfn.IFNA(VLOOKUP($B39,Atletas!$A:$D,4),"")</f>
        <v/>
      </c>
    </row>
    <row r="40" spans="3:5" x14ac:dyDescent="0.25">
      <c r="C40" t="str">
        <f>_xlfn.IFNA(VLOOKUP($B40,Atletas!$A:$D,2),"")</f>
        <v/>
      </c>
      <c r="D40" t="str">
        <f>_xlfn.IFNA(VLOOKUP($B40,Atletas!$A:$D,3),"")</f>
        <v/>
      </c>
      <c r="E40" t="str">
        <f>_xlfn.IFNA(VLOOKUP($B40,Atletas!$A:$D,4),"")</f>
        <v/>
      </c>
    </row>
    <row r="41" spans="3:5" x14ac:dyDescent="0.25">
      <c r="C41" t="str">
        <f>_xlfn.IFNA(VLOOKUP($B41,Atletas!$A:$D,2),"")</f>
        <v/>
      </c>
      <c r="D41" t="str">
        <f>_xlfn.IFNA(VLOOKUP($B41,Atletas!$A:$D,3),"")</f>
        <v/>
      </c>
      <c r="E41" t="str">
        <f>_xlfn.IFNA(VLOOKUP($B41,Atletas!$A:$D,4),"")</f>
        <v/>
      </c>
    </row>
    <row r="42" spans="3:5" x14ac:dyDescent="0.25">
      <c r="C42" t="str">
        <f>_xlfn.IFNA(VLOOKUP($B42,Atletas!$A:$D,2),"")</f>
        <v/>
      </c>
      <c r="D42" t="str">
        <f>_xlfn.IFNA(VLOOKUP($B42,Atletas!$A:$D,3),"")</f>
        <v/>
      </c>
      <c r="E42" t="str">
        <f>_xlfn.IFNA(VLOOKUP($B42,Atletas!$A:$D,4),"")</f>
        <v/>
      </c>
    </row>
    <row r="43" spans="3:5" x14ac:dyDescent="0.25">
      <c r="C43" t="str">
        <f>_xlfn.IFNA(VLOOKUP($B43,Atletas!$A:$D,2),"")</f>
        <v/>
      </c>
      <c r="D43" t="str">
        <f>_xlfn.IFNA(VLOOKUP($B43,Atletas!$A:$D,3),"")</f>
        <v/>
      </c>
      <c r="E43" t="str">
        <f>_xlfn.IFNA(VLOOKUP($B43,Atletas!$A:$D,4),"")</f>
        <v/>
      </c>
    </row>
    <row r="44" spans="3:5" x14ac:dyDescent="0.25">
      <c r="C44" t="str">
        <f>_xlfn.IFNA(VLOOKUP($B44,Atletas!$A:$D,2),"")</f>
        <v/>
      </c>
      <c r="D44" t="str">
        <f>_xlfn.IFNA(VLOOKUP($B44,Atletas!$A:$D,3),"")</f>
        <v/>
      </c>
      <c r="E44" t="str">
        <f>_xlfn.IFNA(VLOOKUP($B44,Atletas!$A:$D,4),"")</f>
        <v/>
      </c>
    </row>
    <row r="45" spans="3:5" x14ac:dyDescent="0.25">
      <c r="C45" t="str">
        <f>_xlfn.IFNA(VLOOKUP($B45,Atletas!$A:$D,2),"")</f>
        <v/>
      </c>
      <c r="D45" t="str">
        <f>_xlfn.IFNA(VLOOKUP($B45,Atletas!$A:$D,3),"")</f>
        <v/>
      </c>
      <c r="E45" t="str">
        <f>_xlfn.IFNA(VLOOKUP($B45,Atletas!$A:$D,4),"")</f>
        <v/>
      </c>
    </row>
    <row r="46" spans="3:5" x14ac:dyDescent="0.25">
      <c r="C46" t="str">
        <f>_xlfn.IFNA(VLOOKUP($B46,Atletas!$A:$D,2),"")</f>
        <v/>
      </c>
      <c r="D46" t="str">
        <f>_xlfn.IFNA(VLOOKUP($B46,Atletas!$A:$D,3),"")</f>
        <v/>
      </c>
      <c r="E46" t="str">
        <f>_xlfn.IFNA(VLOOKUP($B46,Atletas!$A:$D,4),"")</f>
        <v/>
      </c>
    </row>
    <row r="47" spans="3:5" x14ac:dyDescent="0.25">
      <c r="C47" t="str">
        <f>_xlfn.IFNA(VLOOKUP($B47,Atletas!$A:$D,2),"")</f>
        <v/>
      </c>
      <c r="D47" t="str">
        <f>_xlfn.IFNA(VLOOKUP($B47,Atletas!$A:$D,3),"")</f>
        <v/>
      </c>
      <c r="E47" t="str">
        <f>_xlfn.IFNA(VLOOKUP($B47,Atletas!$A:$D,4),"")</f>
        <v/>
      </c>
    </row>
    <row r="48" spans="3:5" x14ac:dyDescent="0.25">
      <c r="C48" t="str">
        <f>_xlfn.IFNA(VLOOKUP($B48,Atletas!$A:$D,2),"")</f>
        <v/>
      </c>
      <c r="D48" t="str">
        <f>_xlfn.IFNA(VLOOKUP($B48,Atletas!$A:$D,3),"")</f>
        <v/>
      </c>
      <c r="E48" t="str">
        <f>_xlfn.IFNA(VLOOKUP($B48,Atletas!$A:$D,4),"")</f>
        <v/>
      </c>
    </row>
    <row r="49" spans="3:5" x14ac:dyDescent="0.25">
      <c r="C49" t="str">
        <f>_xlfn.IFNA(VLOOKUP($B49,Atletas!$A:$D,2),"")</f>
        <v/>
      </c>
      <c r="D49" t="str">
        <f>_xlfn.IFNA(VLOOKUP($B49,Atletas!$A:$D,3),"")</f>
        <v/>
      </c>
      <c r="E49" t="str">
        <f>_xlfn.IFNA(VLOOKUP($B49,Atletas!$A:$D,4),"")</f>
        <v/>
      </c>
    </row>
    <row r="50" spans="3:5" x14ac:dyDescent="0.25">
      <c r="C50" t="str">
        <f>_xlfn.IFNA(VLOOKUP($B50,Atletas!$A:$D,2),"")</f>
        <v/>
      </c>
      <c r="D50" t="str">
        <f>_xlfn.IFNA(VLOOKUP($B50,Atletas!$A:$D,3),"")</f>
        <v/>
      </c>
      <c r="E50" t="str">
        <f>_xlfn.IFNA(VLOOKUP($B50,Atletas!$A:$D,4),"")</f>
        <v/>
      </c>
    </row>
    <row r="51" spans="3:5" x14ac:dyDescent="0.25">
      <c r="C51" t="str">
        <f>_xlfn.IFNA(VLOOKUP($B51,Atletas!$A:$D,2),"")</f>
        <v/>
      </c>
      <c r="D51" t="str">
        <f>_xlfn.IFNA(VLOOKUP($B51,Atletas!$A:$D,3),"")</f>
        <v/>
      </c>
      <c r="E51" t="str">
        <f>_xlfn.IFNA(VLOOKUP($B51,Atletas!$A:$D,4),"")</f>
        <v/>
      </c>
    </row>
    <row r="52" spans="3:5" x14ac:dyDescent="0.25">
      <c r="C52" t="str">
        <f>_xlfn.IFNA(VLOOKUP($B52,Atletas!$A:$D,2),"")</f>
        <v/>
      </c>
      <c r="D52" t="str">
        <f>_xlfn.IFNA(VLOOKUP($B52,Atletas!$A:$D,3),"")</f>
        <v/>
      </c>
      <c r="E52" t="str">
        <f>_xlfn.IFNA(VLOOKUP($B52,Atletas!$A:$D,4),"")</f>
        <v/>
      </c>
    </row>
    <row r="53" spans="3:5" x14ac:dyDescent="0.25">
      <c r="C53" t="str">
        <f>_xlfn.IFNA(VLOOKUP($B53,Atletas!$A:$D,2),"")</f>
        <v/>
      </c>
      <c r="D53" t="str">
        <f>_xlfn.IFNA(VLOOKUP($B53,Atletas!$A:$D,3),"")</f>
        <v/>
      </c>
      <c r="E53" t="str">
        <f>_xlfn.IFNA(VLOOKUP($B53,Atletas!$A:$D,4),"")</f>
        <v/>
      </c>
    </row>
    <row r="54" spans="3:5" x14ac:dyDescent="0.25">
      <c r="C54" t="str">
        <f>_xlfn.IFNA(VLOOKUP($B54,Atletas!$A:$D,2),"")</f>
        <v/>
      </c>
      <c r="D54" t="str">
        <f>_xlfn.IFNA(VLOOKUP($B54,Atletas!$A:$D,3),"")</f>
        <v/>
      </c>
      <c r="E54" t="str">
        <f>_xlfn.IFNA(VLOOKUP($B54,Atletas!$A:$D,4),"")</f>
        <v/>
      </c>
    </row>
    <row r="55" spans="3:5" x14ac:dyDescent="0.25">
      <c r="C55" t="str">
        <f>_xlfn.IFNA(VLOOKUP($B55,Atletas!$A:$D,2),"")</f>
        <v/>
      </c>
      <c r="D55" t="str">
        <f>_xlfn.IFNA(VLOOKUP($B55,Atletas!$A:$D,3),"")</f>
        <v/>
      </c>
      <c r="E55" t="str">
        <f>_xlfn.IFNA(VLOOKUP($B55,Atletas!$A:$D,4),"")</f>
        <v/>
      </c>
    </row>
    <row r="56" spans="3:5" x14ac:dyDescent="0.25">
      <c r="C56" t="str">
        <f>_xlfn.IFNA(VLOOKUP($B56,Atletas!$A:$D,2),"")</f>
        <v/>
      </c>
      <c r="D56" t="str">
        <f>_xlfn.IFNA(VLOOKUP($B56,Atletas!$A:$D,3),"")</f>
        <v/>
      </c>
      <c r="E56" t="str">
        <f>_xlfn.IFNA(VLOOKUP($B56,Atletas!$A:$D,4),"")</f>
        <v/>
      </c>
    </row>
    <row r="57" spans="3:5" x14ac:dyDescent="0.25">
      <c r="C57" t="str">
        <f>_xlfn.IFNA(VLOOKUP($B57,Atletas!$A:$D,2),"")</f>
        <v/>
      </c>
      <c r="D57" t="str">
        <f>_xlfn.IFNA(VLOOKUP($B57,Atletas!$A:$D,3),"")</f>
        <v/>
      </c>
      <c r="E57" t="str">
        <f>_xlfn.IFNA(VLOOKUP($B57,Atletas!$A:$D,4),"")</f>
        <v/>
      </c>
    </row>
    <row r="58" spans="3:5" x14ac:dyDescent="0.25">
      <c r="C58" t="str">
        <f>_xlfn.IFNA(VLOOKUP($B58,Atletas!$A:$D,2),"")</f>
        <v/>
      </c>
      <c r="D58" t="str">
        <f>_xlfn.IFNA(VLOOKUP($B58,Atletas!$A:$D,3),"")</f>
        <v/>
      </c>
      <c r="E58" t="str">
        <f>_xlfn.IFNA(VLOOKUP($B58,Atletas!$A:$D,4),"")</f>
        <v/>
      </c>
    </row>
    <row r="59" spans="3:5" x14ac:dyDescent="0.25">
      <c r="C59" t="str">
        <f>_xlfn.IFNA(VLOOKUP($B59,Atletas!$A:$D,2),"")</f>
        <v/>
      </c>
      <c r="D59" t="str">
        <f>_xlfn.IFNA(VLOOKUP($B59,Atletas!$A:$D,3),"")</f>
        <v/>
      </c>
      <c r="E59" t="str">
        <f>_xlfn.IFNA(VLOOKUP($B59,Atletas!$A:$D,4),"")</f>
        <v/>
      </c>
    </row>
    <row r="60" spans="3:5" x14ac:dyDescent="0.25">
      <c r="C60" t="str">
        <f>_xlfn.IFNA(VLOOKUP($B60,Atletas!$A:$D,2),"")</f>
        <v/>
      </c>
      <c r="D60" t="str">
        <f>_xlfn.IFNA(VLOOKUP($B60,Atletas!$A:$D,3),"")</f>
        <v/>
      </c>
      <c r="E60" t="str">
        <f>_xlfn.IFNA(VLOOKUP($B60,Atletas!$A:$D,4),"")</f>
        <v/>
      </c>
    </row>
    <row r="61" spans="3:5" x14ac:dyDescent="0.25">
      <c r="C61" t="str">
        <f>_xlfn.IFNA(VLOOKUP($B61,Atletas!$A:$D,2),"")</f>
        <v/>
      </c>
      <c r="D61" t="str">
        <f>_xlfn.IFNA(VLOOKUP($B61,Atletas!$A:$D,3),"")</f>
        <v/>
      </c>
      <c r="E61" t="str">
        <f>_xlfn.IFNA(VLOOKUP($B61,Atletas!$A:$D,4),"")</f>
        <v/>
      </c>
    </row>
    <row r="62" spans="3:5" x14ac:dyDescent="0.25">
      <c r="C62" t="str">
        <f>_xlfn.IFNA(VLOOKUP($B62,Atletas!$A:$D,2),"")</f>
        <v/>
      </c>
      <c r="D62" t="str">
        <f>_xlfn.IFNA(VLOOKUP($B62,Atletas!$A:$D,3),"")</f>
        <v/>
      </c>
      <c r="E62" t="str">
        <f>_xlfn.IFNA(VLOOKUP($B62,Atletas!$A:$D,4),"")</f>
        <v/>
      </c>
    </row>
    <row r="63" spans="3:5" x14ac:dyDescent="0.25">
      <c r="C63" t="str">
        <f>_xlfn.IFNA(VLOOKUP($B63,Atletas!$A:$D,2),"")</f>
        <v/>
      </c>
      <c r="D63" t="str">
        <f>_xlfn.IFNA(VLOOKUP($B63,Atletas!$A:$D,3),"")</f>
        <v/>
      </c>
      <c r="E63" t="str">
        <f>_xlfn.IFNA(VLOOKUP($B63,Atletas!$A:$D,4),"")</f>
        <v/>
      </c>
    </row>
    <row r="64" spans="3:5" x14ac:dyDescent="0.25">
      <c r="C64" t="str">
        <f>_xlfn.IFNA(VLOOKUP($B64,Atletas!$A:$D,2),"")</f>
        <v/>
      </c>
      <c r="D64" t="str">
        <f>_xlfn.IFNA(VLOOKUP($B64,Atletas!$A:$D,3),"")</f>
        <v/>
      </c>
      <c r="E64" t="str">
        <f>_xlfn.IFNA(VLOOKUP($B64,Atletas!$A:$D,4),"")</f>
        <v/>
      </c>
    </row>
    <row r="65" spans="3:5" x14ac:dyDescent="0.25">
      <c r="C65" t="str">
        <f>_xlfn.IFNA(VLOOKUP($B65,Atletas!$A:$D,2),"")</f>
        <v/>
      </c>
      <c r="D65" t="str">
        <f>_xlfn.IFNA(VLOOKUP($B65,Atletas!$A:$D,3),"")</f>
        <v/>
      </c>
      <c r="E65" t="str">
        <f>_xlfn.IFNA(VLOOKUP($B65,Atletas!$A:$D,4),"")</f>
        <v/>
      </c>
    </row>
    <row r="66" spans="3:5" x14ac:dyDescent="0.25">
      <c r="C66" t="str">
        <f>_xlfn.IFNA(VLOOKUP($B66,Atletas!$A:$D,2),"")</f>
        <v/>
      </c>
      <c r="D66" t="str">
        <f>_xlfn.IFNA(VLOOKUP($B66,Atletas!$A:$D,3),"")</f>
        <v/>
      </c>
      <c r="E66" t="str">
        <f>_xlfn.IFNA(VLOOKUP($B66,Atletas!$A:$D,4),"")</f>
        <v/>
      </c>
    </row>
    <row r="67" spans="3:5" x14ac:dyDescent="0.25">
      <c r="C67" t="str">
        <f>_xlfn.IFNA(VLOOKUP($B67,Atletas!$A:$D,2),"")</f>
        <v/>
      </c>
      <c r="D67" t="str">
        <f>_xlfn.IFNA(VLOOKUP($B67,Atletas!$A:$D,3),"")</f>
        <v/>
      </c>
      <c r="E67" t="str">
        <f>_xlfn.IFNA(VLOOKUP($B67,Atletas!$A:$D,4),"")</f>
        <v/>
      </c>
    </row>
    <row r="68" spans="3:5" x14ac:dyDescent="0.25">
      <c r="C68" t="str">
        <f>_xlfn.IFNA(VLOOKUP($B68,Atletas!$A:$D,2),"")</f>
        <v/>
      </c>
      <c r="D68" t="str">
        <f>_xlfn.IFNA(VLOOKUP($B68,Atletas!$A:$D,3),"")</f>
        <v/>
      </c>
      <c r="E68" t="str">
        <f>_xlfn.IFNA(VLOOKUP($B68,Atletas!$A:$D,4),"")</f>
        <v/>
      </c>
    </row>
    <row r="69" spans="3:5" x14ac:dyDescent="0.25">
      <c r="C69" t="str">
        <f>_xlfn.IFNA(VLOOKUP($B69,Atletas!$A:$D,2),"")</f>
        <v/>
      </c>
      <c r="D69" t="str">
        <f>_xlfn.IFNA(VLOOKUP($B69,Atletas!$A:$D,3),"")</f>
        <v/>
      </c>
      <c r="E69" t="str">
        <f>_xlfn.IFNA(VLOOKUP($B69,Atletas!$A:$D,4),"")</f>
        <v/>
      </c>
    </row>
    <row r="70" spans="3:5" x14ac:dyDescent="0.25">
      <c r="C70" t="str">
        <f>_xlfn.IFNA(VLOOKUP($B70,Atletas!$A:$D,2),"")</f>
        <v/>
      </c>
      <c r="D70" t="str">
        <f>_xlfn.IFNA(VLOOKUP($B70,Atletas!$A:$D,3),"")</f>
        <v/>
      </c>
      <c r="E70" t="str">
        <f>_xlfn.IFNA(VLOOKUP($B70,Atletas!$A:$D,4),"")</f>
        <v/>
      </c>
    </row>
    <row r="71" spans="3:5" x14ac:dyDescent="0.25">
      <c r="C71" t="str">
        <f>_xlfn.IFNA(VLOOKUP($B71,Atletas!$A:$D,2),"")</f>
        <v/>
      </c>
      <c r="D71" t="str">
        <f>_xlfn.IFNA(VLOOKUP($B71,Atletas!$A:$D,3),"")</f>
        <v/>
      </c>
      <c r="E71" t="str">
        <f>_xlfn.IFNA(VLOOKUP($B71,Atletas!$A:$D,4),"")</f>
        <v/>
      </c>
    </row>
    <row r="72" spans="3:5" x14ac:dyDescent="0.25">
      <c r="C72" t="str">
        <f>_xlfn.IFNA(VLOOKUP($B72,Atletas!$A:$D,2),"")</f>
        <v/>
      </c>
      <c r="D72" t="str">
        <f>_xlfn.IFNA(VLOOKUP($B72,Atletas!$A:$D,3),"")</f>
        <v/>
      </c>
      <c r="E72" t="str">
        <f>_xlfn.IFNA(VLOOKUP($B72,Atletas!$A:$D,4),"")</f>
        <v/>
      </c>
    </row>
    <row r="73" spans="3:5" x14ac:dyDescent="0.25">
      <c r="C73" t="str">
        <f>_xlfn.IFNA(VLOOKUP($B73,Atletas!$A:$D,2),"")</f>
        <v/>
      </c>
      <c r="D73" t="str">
        <f>_xlfn.IFNA(VLOOKUP($B73,Atletas!$A:$D,3),"")</f>
        <v/>
      </c>
      <c r="E73" t="str">
        <f>_xlfn.IFNA(VLOOKUP($B73,Atletas!$A:$D,4),"")</f>
        <v/>
      </c>
    </row>
    <row r="74" spans="3:5" x14ac:dyDescent="0.25">
      <c r="C74" t="str">
        <f>_xlfn.IFNA(VLOOKUP($B74,Atletas!$A:$D,2),"")</f>
        <v/>
      </c>
      <c r="D74" t="str">
        <f>_xlfn.IFNA(VLOOKUP($B74,Atletas!$A:$D,3),"")</f>
        <v/>
      </c>
      <c r="E74" t="str">
        <f>_xlfn.IFNA(VLOOKUP($B74,Atletas!$A:$D,4),"")</f>
        <v/>
      </c>
    </row>
    <row r="75" spans="3:5" x14ac:dyDescent="0.25">
      <c r="C75" t="str">
        <f>_xlfn.IFNA(VLOOKUP($B75,Atletas!$A:$D,2),"")</f>
        <v/>
      </c>
      <c r="D75" t="str">
        <f>_xlfn.IFNA(VLOOKUP($B75,Atletas!$A:$D,3),"")</f>
        <v/>
      </c>
      <c r="E75" t="str">
        <f>_xlfn.IFNA(VLOOKUP($B75,Atletas!$A:$D,4),"")</f>
        <v/>
      </c>
    </row>
    <row r="76" spans="3:5" x14ac:dyDescent="0.25">
      <c r="C76" t="str">
        <f>_xlfn.IFNA(VLOOKUP($B76,Atletas!$A:$D,2),"")</f>
        <v/>
      </c>
      <c r="D76" t="str">
        <f>_xlfn.IFNA(VLOOKUP($B76,Atletas!$A:$D,3),"")</f>
        <v/>
      </c>
      <c r="E76" t="str">
        <f>_xlfn.IFNA(VLOOKUP($B76,Atletas!$A:$D,4),"")</f>
        <v/>
      </c>
    </row>
    <row r="77" spans="3:5" x14ac:dyDescent="0.25">
      <c r="C77" t="str">
        <f>_xlfn.IFNA(VLOOKUP($B77,Atletas!$A:$D,2),"")</f>
        <v/>
      </c>
      <c r="D77" t="str">
        <f>_xlfn.IFNA(VLOOKUP($B77,Atletas!$A:$D,3),"")</f>
        <v/>
      </c>
      <c r="E77" t="str">
        <f>_xlfn.IFNA(VLOOKUP($B77,Atletas!$A:$D,4),"")</f>
        <v/>
      </c>
    </row>
    <row r="78" spans="3:5" x14ac:dyDescent="0.25">
      <c r="C78" t="str">
        <f>_xlfn.IFNA(VLOOKUP($B78,Atletas!$A:$D,2),"")</f>
        <v/>
      </c>
      <c r="D78" t="str">
        <f>_xlfn.IFNA(VLOOKUP($B78,Atletas!$A:$D,3),"")</f>
        <v/>
      </c>
      <c r="E78" t="str">
        <f>_xlfn.IFNA(VLOOKUP($B78,Atletas!$A:$D,4),"")</f>
        <v/>
      </c>
    </row>
    <row r="79" spans="3:5" x14ac:dyDescent="0.25">
      <c r="C79" t="str">
        <f>_xlfn.IFNA(VLOOKUP($B79,Atletas!$A:$D,2),"")</f>
        <v/>
      </c>
      <c r="D79" t="str">
        <f>_xlfn.IFNA(VLOOKUP($B79,Atletas!$A:$D,3),"")</f>
        <v/>
      </c>
      <c r="E79" t="str">
        <f>_xlfn.IFNA(VLOOKUP($B79,Atletas!$A:$D,4),"")</f>
        <v/>
      </c>
    </row>
    <row r="80" spans="3:5" x14ac:dyDescent="0.25">
      <c r="C80" t="str">
        <f>_xlfn.IFNA(VLOOKUP($B80,Atletas!$A:$D,2),"")</f>
        <v/>
      </c>
      <c r="D80" t="str">
        <f>_xlfn.IFNA(VLOOKUP($B80,Atletas!$A:$D,3),"")</f>
        <v/>
      </c>
      <c r="E80" t="str">
        <f>_xlfn.IFNA(VLOOKUP($B80,Atletas!$A:$D,4),"")</f>
        <v/>
      </c>
    </row>
    <row r="81" spans="3:5" x14ac:dyDescent="0.25">
      <c r="C81" t="str">
        <f>_xlfn.IFNA(VLOOKUP($B81,Atletas!$A:$D,2),"")</f>
        <v/>
      </c>
      <c r="D81" t="str">
        <f>_xlfn.IFNA(VLOOKUP($B81,Atletas!$A:$D,3),"")</f>
        <v/>
      </c>
      <c r="E81" t="str">
        <f>_xlfn.IFNA(VLOOKUP($B81,Atletas!$A:$D,4),"")</f>
        <v/>
      </c>
    </row>
    <row r="82" spans="3:5" x14ac:dyDescent="0.25">
      <c r="C82" t="str">
        <f>_xlfn.IFNA(VLOOKUP($B82,Atletas!$A:$D,2),"")</f>
        <v/>
      </c>
      <c r="D82" t="str">
        <f>_xlfn.IFNA(VLOOKUP($B82,Atletas!$A:$D,3),"")</f>
        <v/>
      </c>
      <c r="E82" t="str">
        <f>_xlfn.IFNA(VLOOKUP($B82,Atletas!$A:$D,4),"")</f>
        <v/>
      </c>
    </row>
    <row r="83" spans="3:5" x14ac:dyDescent="0.25">
      <c r="C83" t="str">
        <f>_xlfn.IFNA(VLOOKUP($B83,Atletas!$A:$D,2),"")</f>
        <v/>
      </c>
      <c r="D83" t="str">
        <f>_xlfn.IFNA(VLOOKUP($B83,Atletas!$A:$D,3),"")</f>
        <v/>
      </c>
      <c r="E83" t="str">
        <f>_xlfn.IFNA(VLOOKUP($B83,Atletas!$A:$D,4),"")</f>
        <v/>
      </c>
    </row>
    <row r="84" spans="3:5" x14ac:dyDescent="0.25">
      <c r="C84" t="str">
        <f>_xlfn.IFNA(VLOOKUP($B84,Atletas!$A:$D,2),"")</f>
        <v/>
      </c>
      <c r="D84" t="str">
        <f>_xlfn.IFNA(VLOOKUP($B84,Atletas!$A:$D,3),"")</f>
        <v/>
      </c>
      <c r="E84" t="str">
        <f>_xlfn.IFNA(VLOOKUP($B84,Atletas!$A:$D,4),"")</f>
        <v/>
      </c>
    </row>
    <row r="85" spans="3:5" x14ac:dyDescent="0.25">
      <c r="C85" t="str">
        <f>_xlfn.IFNA(VLOOKUP($B85,Atletas!$A:$D,2),"")</f>
        <v/>
      </c>
      <c r="D85" t="str">
        <f>_xlfn.IFNA(VLOOKUP($B85,Atletas!$A:$D,3),"")</f>
        <v/>
      </c>
      <c r="E85" t="str">
        <f>_xlfn.IFNA(VLOOKUP($B85,Atletas!$A:$D,4),"")</f>
        <v/>
      </c>
    </row>
    <row r="86" spans="3:5" x14ac:dyDescent="0.25">
      <c r="C86" t="str">
        <f>_xlfn.IFNA(VLOOKUP($B86,Atletas!$A:$D,2),"")</f>
        <v/>
      </c>
      <c r="D86" t="str">
        <f>_xlfn.IFNA(VLOOKUP($B86,Atletas!$A:$D,3),"")</f>
        <v/>
      </c>
      <c r="E86" t="str">
        <f>_xlfn.IFNA(VLOOKUP($B86,Atletas!$A:$D,4),"")</f>
        <v/>
      </c>
    </row>
    <row r="87" spans="3:5" x14ac:dyDescent="0.25">
      <c r="C87" t="str">
        <f>_xlfn.IFNA(VLOOKUP($B87,Atletas!$A:$D,2),"")</f>
        <v/>
      </c>
      <c r="D87" t="str">
        <f>_xlfn.IFNA(VLOOKUP($B87,Atletas!$A:$D,3),"")</f>
        <v/>
      </c>
      <c r="E87" t="str">
        <f>_xlfn.IFNA(VLOOKUP($B87,Atletas!$A:$D,4),"")</f>
        <v/>
      </c>
    </row>
    <row r="88" spans="3:5" x14ac:dyDescent="0.25">
      <c r="C88" t="str">
        <f>_xlfn.IFNA(VLOOKUP($B88,Atletas!$A:$D,2),"")</f>
        <v/>
      </c>
      <c r="D88" t="str">
        <f>_xlfn.IFNA(VLOOKUP($B88,Atletas!$A:$D,3),"")</f>
        <v/>
      </c>
      <c r="E88" t="str">
        <f>_xlfn.IFNA(VLOOKUP($B88,Atletas!$A:$D,4),"")</f>
        <v/>
      </c>
    </row>
    <row r="89" spans="3:5" x14ac:dyDescent="0.25">
      <c r="C89" t="str">
        <f>_xlfn.IFNA(VLOOKUP($B89,Atletas!$A:$D,2),"")</f>
        <v/>
      </c>
      <c r="D89" t="str">
        <f>_xlfn.IFNA(VLOOKUP($B89,Atletas!$A:$D,3),"")</f>
        <v/>
      </c>
      <c r="E89" t="str">
        <f>_xlfn.IFNA(VLOOKUP($B89,Atletas!$A:$D,4),"")</f>
        <v/>
      </c>
    </row>
    <row r="90" spans="3:5" x14ac:dyDescent="0.25">
      <c r="C90" t="str">
        <f>_xlfn.IFNA(VLOOKUP($B90,Atletas!$A:$D,2),"")</f>
        <v/>
      </c>
      <c r="D90" t="str">
        <f>_xlfn.IFNA(VLOOKUP($B90,Atletas!$A:$D,3),"")</f>
        <v/>
      </c>
      <c r="E90" t="str">
        <f>_xlfn.IFNA(VLOOKUP($B90,Atletas!$A:$D,4),"")</f>
        <v/>
      </c>
    </row>
    <row r="91" spans="3:5" x14ac:dyDescent="0.25">
      <c r="C91" t="str">
        <f>_xlfn.IFNA(VLOOKUP($B91,Atletas!$A:$D,2),"")</f>
        <v/>
      </c>
      <c r="D91" t="str">
        <f>_xlfn.IFNA(VLOOKUP($B91,Atletas!$A:$D,3),"")</f>
        <v/>
      </c>
      <c r="E91" t="str">
        <f>_xlfn.IFNA(VLOOKUP($B91,Atletas!$A:$D,4),"")</f>
        <v/>
      </c>
    </row>
    <row r="92" spans="3:5" x14ac:dyDescent="0.25">
      <c r="C92" t="str">
        <f>_xlfn.IFNA(VLOOKUP($B92,Atletas!$A:$D,2),"")</f>
        <v/>
      </c>
      <c r="D92" t="str">
        <f>_xlfn.IFNA(VLOOKUP($B92,Atletas!$A:$D,3),"")</f>
        <v/>
      </c>
      <c r="E92" t="str">
        <f>_xlfn.IFNA(VLOOKUP($B92,Atletas!$A:$D,4),"")</f>
        <v/>
      </c>
    </row>
    <row r="93" spans="3:5" x14ac:dyDescent="0.25">
      <c r="C93" t="str">
        <f>_xlfn.IFNA(VLOOKUP($B93,Atletas!$A:$D,2),"")</f>
        <v/>
      </c>
      <c r="D93" t="str">
        <f>_xlfn.IFNA(VLOOKUP($B93,Atletas!$A:$D,3),"")</f>
        <v/>
      </c>
      <c r="E93" t="str">
        <f>_xlfn.IFNA(VLOOKUP($B93,Atletas!$A:$D,4),"")</f>
        <v/>
      </c>
    </row>
    <row r="94" spans="3:5" x14ac:dyDescent="0.25">
      <c r="C94" t="str">
        <f>_xlfn.IFNA(VLOOKUP($B94,Atletas!$A:$D,2),"")</f>
        <v/>
      </c>
      <c r="D94" t="str">
        <f>_xlfn.IFNA(VLOOKUP($B94,Atletas!$A:$D,3),"")</f>
        <v/>
      </c>
      <c r="E94" t="str">
        <f>_xlfn.IFNA(VLOOKUP($B94,Atletas!$A:$D,4),"")</f>
        <v/>
      </c>
    </row>
    <row r="95" spans="3:5" x14ac:dyDescent="0.25">
      <c r="C95" t="str">
        <f>_xlfn.IFNA(VLOOKUP($B95,Atletas!$A:$D,2),"")</f>
        <v/>
      </c>
      <c r="D95" t="str">
        <f>_xlfn.IFNA(VLOOKUP($B95,Atletas!$A:$D,3),"")</f>
        <v/>
      </c>
      <c r="E95" t="str">
        <f>_xlfn.IFNA(VLOOKUP($B95,Atletas!$A:$D,4),"")</f>
        <v/>
      </c>
    </row>
    <row r="96" spans="3:5" x14ac:dyDescent="0.25">
      <c r="C96" t="str">
        <f>_xlfn.IFNA(VLOOKUP($B96,Atletas!$A:$D,2),"")</f>
        <v/>
      </c>
      <c r="D96" t="str">
        <f>_xlfn.IFNA(VLOOKUP($B96,Atletas!$A:$D,3),"")</f>
        <v/>
      </c>
      <c r="E96" t="str">
        <f>_xlfn.IFNA(VLOOKUP($B96,Atletas!$A:$D,4),"")</f>
        <v/>
      </c>
    </row>
    <row r="97" spans="3:5" x14ac:dyDescent="0.25">
      <c r="C97" t="str">
        <f>_xlfn.IFNA(VLOOKUP($B97,Atletas!$A:$D,2),"")</f>
        <v/>
      </c>
      <c r="D97" t="str">
        <f>_xlfn.IFNA(VLOOKUP($B97,Atletas!$A:$D,3),"")</f>
        <v/>
      </c>
      <c r="E97" t="str">
        <f>_xlfn.IFNA(VLOOKUP($B97,Atletas!$A:$D,4),"")</f>
        <v/>
      </c>
    </row>
    <row r="98" spans="3:5" x14ac:dyDescent="0.25">
      <c r="C98" t="str">
        <f>_xlfn.IFNA(VLOOKUP($B98,Atletas!$A:$D,2),"")</f>
        <v/>
      </c>
      <c r="D98" t="str">
        <f>_xlfn.IFNA(VLOOKUP($B98,Atletas!$A:$D,3),"")</f>
        <v/>
      </c>
      <c r="E98" t="str">
        <f>_xlfn.IFNA(VLOOKUP($B98,Atletas!$A:$D,4),"")</f>
        <v/>
      </c>
    </row>
    <row r="99" spans="3:5" x14ac:dyDescent="0.25">
      <c r="C99" t="str">
        <f>_xlfn.IFNA(VLOOKUP($B99,Atletas!$A:$D,2),"")</f>
        <v/>
      </c>
      <c r="D99" t="str">
        <f>_xlfn.IFNA(VLOOKUP($B99,Atletas!$A:$D,3),"")</f>
        <v/>
      </c>
      <c r="E99" t="str">
        <f>_xlfn.IFNA(VLOOKUP($B99,Atletas!$A:$D,4),"")</f>
        <v/>
      </c>
    </row>
    <row r="100" spans="3:5" x14ac:dyDescent="0.25">
      <c r="C100" t="str">
        <f>_xlfn.IFNA(VLOOKUP($B100,Atletas!$A:$D,2),"")</f>
        <v/>
      </c>
      <c r="D100" t="str">
        <f>_xlfn.IFNA(VLOOKUP($B100,Atletas!$A:$D,3),"")</f>
        <v/>
      </c>
      <c r="E100" t="str">
        <f>_xlfn.IFNA(VLOOKUP($B100,Atletas!$A:$D,4),"")</f>
        <v/>
      </c>
    </row>
    <row r="101" spans="3:5" x14ac:dyDescent="0.25">
      <c r="C101" t="str">
        <f>_xlfn.IFNA(VLOOKUP($B101,Atletas!$A:$D,2),"")</f>
        <v/>
      </c>
      <c r="D101" t="str">
        <f>_xlfn.IFNA(VLOOKUP($B101,Atletas!$A:$D,3),"")</f>
        <v/>
      </c>
      <c r="E101" t="str">
        <f>_xlfn.IFNA(VLOOKUP($B101,Atletas!$A:$D,4),"")</f>
        <v/>
      </c>
    </row>
    <row r="102" spans="3:5" x14ac:dyDescent="0.25">
      <c r="C102" t="str">
        <f>_xlfn.IFNA(VLOOKUP($B102,Atletas!$A:$D,2),"")</f>
        <v/>
      </c>
      <c r="D102" t="str">
        <f>_xlfn.IFNA(VLOOKUP($B102,Atletas!$A:$D,3),"")</f>
        <v/>
      </c>
      <c r="E102" t="str">
        <f>_xlfn.IFNA(VLOOKUP($B102,Atletas!$A:$D,4),"")</f>
        <v/>
      </c>
    </row>
    <row r="103" spans="3:5" x14ac:dyDescent="0.25">
      <c r="C103" t="str">
        <f>_xlfn.IFNA(VLOOKUP($B103,Atletas!$A:$D,2),"")</f>
        <v/>
      </c>
      <c r="D103" t="str">
        <f>_xlfn.IFNA(VLOOKUP($B103,Atletas!$A:$D,3),"")</f>
        <v/>
      </c>
      <c r="E103" t="str">
        <f>_xlfn.IFNA(VLOOKUP($B103,Atletas!$A:$D,4),"")</f>
        <v/>
      </c>
    </row>
    <row r="104" spans="3:5" x14ac:dyDescent="0.25">
      <c r="C104" t="str">
        <f>_xlfn.IFNA(VLOOKUP($B104,Atletas!$A:$D,2),"")</f>
        <v/>
      </c>
      <c r="D104" t="str">
        <f>_xlfn.IFNA(VLOOKUP($B104,Atletas!$A:$D,3),"")</f>
        <v/>
      </c>
      <c r="E104" t="str">
        <f>_xlfn.IFNA(VLOOKUP($B104,Atletas!$A:$D,4),"")</f>
        <v/>
      </c>
    </row>
    <row r="105" spans="3:5" x14ac:dyDescent="0.25">
      <c r="C105" t="str">
        <f>_xlfn.IFNA(VLOOKUP($B105,Atletas!$A:$D,2),"")</f>
        <v/>
      </c>
      <c r="D105" t="str">
        <f>_xlfn.IFNA(VLOOKUP($B105,Atletas!$A:$D,3),"")</f>
        <v/>
      </c>
      <c r="E105" t="str">
        <f>_xlfn.IFNA(VLOOKUP($B105,Atletas!$A:$D,4),"")</f>
        <v/>
      </c>
    </row>
    <row r="106" spans="3:5" x14ac:dyDescent="0.25">
      <c r="C106" t="str">
        <f>_xlfn.IFNA(VLOOKUP($B106,Atletas!$A:$D,2),"")</f>
        <v/>
      </c>
      <c r="D106" t="str">
        <f>_xlfn.IFNA(VLOOKUP($B106,Atletas!$A:$D,3),"")</f>
        <v/>
      </c>
      <c r="E106" t="str">
        <f>_xlfn.IFNA(VLOOKUP($B106,Atletas!$A:$D,4),"")</f>
        <v/>
      </c>
    </row>
    <row r="107" spans="3:5" x14ac:dyDescent="0.25">
      <c r="C107" t="str">
        <f>_xlfn.IFNA(VLOOKUP($B107,Atletas!$A:$D,2),"")</f>
        <v/>
      </c>
      <c r="D107" t="str">
        <f>_xlfn.IFNA(VLOOKUP($B107,Atletas!$A:$D,3),"")</f>
        <v/>
      </c>
      <c r="E107" t="str">
        <f>_xlfn.IFNA(VLOOKUP($B107,Atletas!$A:$D,4),"")</f>
        <v/>
      </c>
    </row>
    <row r="108" spans="3:5" x14ac:dyDescent="0.25">
      <c r="C108" t="str">
        <f>_xlfn.IFNA(VLOOKUP($B108,Atletas!$A:$D,2),"")</f>
        <v/>
      </c>
      <c r="D108" t="str">
        <f>_xlfn.IFNA(VLOOKUP($B108,Atletas!$A:$D,3),"")</f>
        <v/>
      </c>
      <c r="E108" t="str">
        <f>_xlfn.IFNA(VLOOKUP($B108,Atletas!$A:$D,4),"")</f>
        <v/>
      </c>
    </row>
    <row r="109" spans="3:5" x14ac:dyDescent="0.25">
      <c r="C109" t="str">
        <f>_xlfn.IFNA(VLOOKUP($B109,Atletas!$A:$D,2),"")</f>
        <v/>
      </c>
      <c r="D109" t="str">
        <f>_xlfn.IFNA(VLOOKUP($B109,Atletas!$A:$D,3),"")</f>
        <v/>
      </c>
      <c r="E109" t="str">
        <f>_xlfn.IFNA(VLOOKUP($B109,Atletas!$A:$D,4),"")</f>
        <v/>
      </c>
    </row>
    <row r="110" spans="3:5" x14ac:dyDescent="0.25">
      <c r="C110" t="str">
        <f>_xlfn.IFNA(VLOOKUP($B110,Atletas!$A:$D,2),"")</f>
        <v/>
      </c>
      <c r="D110" t="str">
        <f>_xlfn.IFNA(VLOOKUP($B110,Atletas!$A:$D,3),"")</f>
        <v/>
      </c>
      <c r="E110" t="str">
        <f>_xlfn.IFNA(VLOOKUP($B110,Atletas!$A:$D,4),"")</f>
        <v/>
      </c>
    </row>
    <row r="111" spans="3:5" x14ac:dyDescent="0.25">
      <c r="C111" t="str">
        <f>_xlfn.IFNA(VLOOKUP($B111,Atletas!$A:$D,2),"")</f>
        <v/>
      </c>
      <c r="D111" t="str">
        <f>_xlfn.IFNA(VLOOKUP($B111,Atletas!$A:$D,3),"")</f>
        <v/>
      </c>
      <c r="E111" t="str">
        <f>_xlfn.IFNA(VLOOKUP($B111,Atletas!$A:$D,4),"")</f>
        <v/>
      </c>
    </row>
    <row r="112" spans="3:5" x14ac:dyDescent="0.25">
      <c r="C112" t="str">
        <f>_xlfn.IFNA(VLOOKUP($B112,Atletas!$A:$D,2),"")</f>
        <v/>
      </c>
      <c r="D112" t="str">
        <f>_xlfn.IFNA(VLOOKUP($B112,Atletas!$A:$D,3),"")</f>
        <v/>
      </c>
      <c r="E112" t="str">
        <f>_xlfn.IFNA(VLOOKUP($B112,Atletas!$A:$D,4),"")</f>
        <v/>
      </c>
    </row>
    <row r="113" spans="3:5" x14ac:dyDescent="0.25">
      <c r="C113" t="str">
        <f>_xlfn.IFNA(VLOOKUP($B113,Atletas!$A:$D,2),"")</f>
        <v/>
      </c>
      <c r="D113" t="str">
        <f>_xlfn.IFNA(VLOOKUP($B113,Atletas!$A:$D,3),"")</f>
        <v/>
      </c>
      <c r="E113" t="str">
        <f>_xlfn.IFNA(VLOOKUP($B113,Atletas!$A:$D,4),"")</f>
        <v/>
      </c>
    </row>
    <row r="114" spans="3:5" x14ac:dyDescent="0.25">
      <c r="C114" t="str">
        <f>_xlfn.IFNA(VLOOKUP($B114,Atletas!$A:$D,2),"")</f>
        <v/>
      </c>
      <c r="D114" t="str">
        <f>_xlfn.IFNA(VLOOKUP($B114,Atletas!$A:$D,3),"")</f>
        <v/>
      </c>
      <c r="E114" t="str">
        <f>_xlfn.IFNA(VLOOKUP($B114,Atletas!$A:$D,4),"")</f>
        <v/>
      </c>
    </row>
    <row r="115" spans="3:5" x14ac:dyDescent="0.25">
      <c r="C115" t="str">
        <f>_xlfn.IFNA(VLOOKUP($B115,Atletas!$A:$D,2),"")</f>
        <v/>
      </c>
      <c r="D115" t="str">
        <f>_xlfn.IFNA(VLOOKUP($B115,Atletas!$A:$D,3),"")</f>
        <v/>
      </c>
      <c r="E115" t="str">
        <f>_xlfn.IFNA(VLOOKUP($B115,Atletas!$A:$D,4),"")</f>
        <v/>
      </c>
    </row>
    <row r="116" spans="3:5" x14ac:dyDescent="0.25">
      <c r="C116" t="str">
        <f>_xlfn.IFNA(VLOOKUP($B116,Atletas!$A:$D,2),"")</f>
        <v/>
      </c>
      <c r="D116" t="str">
        <f>_xlfn.IFNA(VLOOKUP($B116,Atletas!$A:$D,3),"")</f>
        <v/>
      </c>
      <c r="E116" t="str">
        <f>_xlfn.IFNA(VLOOKUP($B116,Atletas!$A:$D,4),"")</f>
        <v/>
      </c>
    </row>
    <row r="117" spans="3:5" x14ac:dyDescent="0.25">
      <c r="C117" t="str">
        <f>_xlfn.IFNA(VLOOKUP($B117,Atletas!$A:$D,2),"")</f>
        <v/>
      </c>
      <c r="D117" t="str">
        <f>_xlfn.IFNA(VLOOKUP($B117,Atletas!$A:$D,3),"")</f>
        <v/>
      </c>
      <c r="E117" t="str">
        <f>_xlfn.IFNA(VLOOKUP($B117,Atletas!$A:$D,4),"")</f>
        <v/>
      </c>
    </row>
    <row r="118" spans="3:5" x14ac:dyDescent="0.25">
      <c r="C118" t="str">
        <f>_xlfn.IFNA(VLOOKUP($B118,Atletas!$A:$D,2),"")</f>
        <v/>
      </c>
      <c r="D118" t="str">
        <f>_xlfn.IFNA(VLOOKUP($B118,Atletas!$A:$D,3),"")</f>
        <v/>
      </c>
      <c r="E118" t="str">
        <f>_xlfn.IFNA(VLOOKUP($B118,Atletas!$A:$D,4),"")</f>
        <v/>
      </c>
    </row>
    <row r="119" spans="3:5" x14ac:dyDescent="0.25">
      <c r="C119" t="str">
        <f>_xlfn.IFNA(VLOOKUP($B119,Atletas!$A:$D,2),"")</f>
        <v/>
      </c>
      <c r="D119" t="str">
        <f>_xlfn.IFNA(VLOOKUP($B119,Atletas!$A:$D,3),"")</f>
        <v/>
      </c>
      <c r="E119" t="str">
        <f>_xlfn.IFNA(VLOOKUP($B119,Atletas!$A:$D,4),"")</f>
        <v/>
      </c>
    </row>
    <row r="120" spans="3:5" x14ac:dyDescent="0.25">
      <c r="C120" t="str">
        <f>_xlfn.IFNA(VLOOKUP($B120,Atletas!$A:$D,2),"")</f>
        <v/>
      </c>
      <c r="D120" t="str">
        <f>_xlfn.IFNA(VLOOKUP($B120,Atletas!$A:$D,3),"")</f>
        <v/>
      </c>
      <c r="E120" t="str">
        <f>_xlfn.IFNA(VLOOKUP($B120,Atletas!$A:$D,4),"")</f>
        <v/>
      </c>
    </row>
    <row r="121" spans="3:5" x14ac:dyDescent="0.25">
      <c r="C121" t="str">
        <f>_xlfn.IFNA(VLOOKUP($B121,Atletas!$A:$D,2),"")</f>
        <v/>
      </c>
      <c r="D121" t="str">
        <f>_xlfn.IFNA(VLOOKUP($B121,Atletas!$A:$D,3),"")</f>
        <v/>
      </c>
      <c r="E121" t="str">
        <f>_xlfn.IFNA(VLOOKUP($B121,Atletas!$A:$D,4),"")</f>
        <v/>
      </c>
    </row>
    <row r="122" spans="3:5" x14ac:dyDescent="0.25">
      <c r="C122" t="str">
        <f>_xlfn.IFNA(VLOOKUP($B122,Atletas!$A:$D,2),"")</f>
        <v/>
      </c>
      <c r="D122" t="str">
        <f>_xlfn.IFNA(VLOOKUP($B122,Atletas!$A:$D,3),"")</f>
        <v/>
      </c>
      <c r="E122" t="str">
        <f>_xlfn.IFNA(VLOOKUP($B122,Atletas!$A:$D,4),"")</f>
        <v/>
      </c>
    </row>
    <row r="123" spans="3:5" x14ac:dyDescent="0.25">
      <c r="C123" t="str">
        <f>_xlfn.IFNA(VLOOKUP($B123,Atletas!$A:$D,2),"")</f>
        <v/>
      </c>
      <c r="D123" t="str">
        <f>_xlfn.IFNA(VLOOKUP($B123,Atletas!$A:$D,3),"")</f>
        <v/>
      </c>
      <c r="E123" t="str">
        <f>_xlfn.IFNA(VLOOKUP($B123,Atletas!$A:$D,4),"")</f>
        <v/>
      </c>
    </row>
    <row r="124" spans="3:5" x14ac:dyDescent="0.25">
      <c r="C124" t="str">
        <f>_xlfn.IFNA(VLOOKUP($B124,Atletas!$A:$D,2),"")</f>
        <v/>
      </c>
      <c r="D124" t="str">
        <f>_xlfn.IFNA(VLOOKUP($B124,Atletas!$A:$D,3),"")</f>
        <v/>
      </c>
      <c r="E124" t="str">
        <f>_xlfn.IFNA(VLOOKUP($B124,Atletas!$A:$D,4),"")</f>
        <v/>
      </c>
    </row>
    <row r="125" spans="3:5" x14ac:dyDescent="0.25">
      <c r="C125" t="str">
        <f>_xlfn.IFNA(VLOOKUP($B125,Atletas!$A:$D,2),"")</f>
        <v/>
      </c>
      <c r="D125" t="str">
        <f>_xlfn.IFNA(VLOOKUP($B125,Atletas!$A:$D,3),"")</f>
        <v/>
      </c>
      <c r="E125" t="str">
        <f>_xlfn.IFNA(VLOOKUP($B125,Atletas!$A:$D,4),"")</f>
        <v/>
      </c>
    </row>
    <row r="126" spans="3:5" x14ac:dyDescent="0.25">
      <c r="C126" t="str">
        <f>_xlfn.IFNA(VLOOKUP($B126,Atletas!$A:$D,2),"")</f>
        <v/>
      </c>
      <c r="D126" t="str">
        <f>_xlfn.IFNA(VLOOKUP($B126,Atletas!$A:$D,3),"")</f>
        <v/>
      </c>
      <c r="E126" t="str">
        <f>_xlfn.IFNA(VLOOKUP($B126,Atletas!$A:$D,4),"")</f>
        <v/>
      </c>
    </row>
    <row r="127" spans="3:5" x14ac:dyDescent="0.25">
      <c r="C127" t="str">
        <f>_xlfn.IFNA(VLOOKUP($B127,Atletas!$A:$D,2),"")</f>
        <v/>
      </c>
      <c r="D127" t="str">
        <f>_xlfn.IFNA(VLOOKUP($B127,Atletas!$A:$D,3),"")</f>
        <v/>
      </c>
      <c r="E127" t="str">
        <f>_xlfn.IFNA(VLOOKUP($B127,Atletas!$A:$D,4),"")</f>
        <v/>
      </c>
    </row>
    <row r="128" spans="3:5" x14ac:dyDescent="0.25">
      <c r="C128" t="str">
        <f>_xlfn.IFNA(VLOOKUP($B128,Atletas!$A:$D,2),"")</f>
        <v/>
      </c>
      <c r="D128" t="str">
        <f>_xlfn.IFNA(VLOOKUP($B128,Atletas!$A:$D,3),"")</f>
        <v/>
      </c>
      <c r="E128" t="str">
        <f>_xlfn.IFNA(VLOOKUP($B128,Atletas!$A:$D,4),"")</f>
        <v/>
      </c>
    </row>
    <row r="129" spans="3:5" x14ac:dyDescent="0.25">
      <c r="C129" t="str">
        <f>_xlfn.IFNA(VLOOKUP($B129,Atletas!$A:$D,2),"")</f>
        <v/>
      </c>
      <c r="D129" t="str">
        <f>_xlfn.IFNA(VLOOKUP($B129,Atletas!$A:$D,3),"")</f>
        <v/>
      </c>
      <c r="E129" t="str">
        <f>_xlfn.IFNA(VLOOKUP($B129,Atletas!$A:$D,4),"")</f>
        <v/>
      </c>
    </row>
    <row r="130" spans="3:5" x14ac:dyDescent="0.25">
      <c r="C130" t="str">
        <f>_xlfn.IFNA(VLOOKUP($B130,Atletas!$A:$D,2),"")</f>
        <v/>
      </c>
      <c r="D130" t="str">
        <f>_xlfn.IFNA(VLOOKUP($B130,Atletas!$A:$D,3),"")</f>
        <v/>
      </c>
      <c r="E130" t="str">
        <f>_xlfn.IFNA(VLOOKUP($B130,Atletas!$A:$D,4),"")</f>
        <v/>
      </c>
    </row>
    <row r="131" spans="3:5" x14ac:dyDescent="0.25">
      <c r="C131" t="str">
        <f>_xlfn.IFNA(VLOOKUP($B131,Atletas!$A:$D,2),"")</f>
        <v/>
      </c>
      <c r="D131" t="str">
        <f>_xlfn.IFNA(VLOOKUP($B131,Atletas!$A:$D,3),"")</f>
        <v/>
      </c>
      <c r="E131" t="str">
        <f>_xlfn.IFNA(VLOOKUP($B131,Atletas!$A:$D,4),"")</f>
        <v/>
      </c>
    </row>
    <row r="132" spans="3:5" x14ac:dyDescent="0.25">
      <c r="C132" t="str">
        <f>_xlfn.IFNA(VLOOKUP($B132,Atletas!$A:$D,2),"")</f>
        <v/>
      </c>
      <c r="D132" t="str">
        <f>_xlfn.IFNA(VLOOKUP($B132,Atletas!$A:$D,3),"")</f>
        <v/>
      </c>
      <c r="E132" t="str">
        <f>_xlfn.IFNA(VLOOKUP($B132,Atletas!$A:$D,4),"")</f>
        <v/>
      </c>
    </row>
    <row r="133" spans="3:5" x14ac:dyDescent="0.25">
      <c r="C133" t="str">
        <f>_xlfn.IFNA(VLOOKUP($B133,Atletas!$A:$D,2),"")</f>
        <v/>
      </c>
      <c r="D133" t="str">
        <f>_xlfn.IFNA(VLOOKUP($B133,Atletas!$A:$D,3),"")</f>
        <v/>
      </c>
      <c r="E133" t="str">
        <f>_xlfn.IFNA(VLOOKUP($B133,Atletas!$A:$D,4),"")</f>
        <v/>
      </c>
    </row>
    <row r="134" spans="3:5" x14ac:dyDescent="0.25">
      <c r="C134" t="str">
        <f>_xlfn.IFNA(VLOOKUP($B134,Atletas!$A:$D,2),"")</f>
        <v/>
      </c>
      <c r="D134" t="str">
        <f>_xlfn.IFNA(VLOOKUP($B134,Atletas!$A:$D,3),"")</f>
        <v/>
      </c>
      <c r="E134" t="str">
        <f>_xlfn.IFNA(VLOOKUP($B134,Atletas!$A:$D,4),"")</f>
        <v/>
      </c>
    </row>
    <row r="135" spans="3:5" x14ac:dyDescent="0.25">
      <c r="C135" t="str">
        <f>_xlfn.IFNA(VLOOKUP($B135,Atletas!$A:$D,2),"")</f>
        <v/>
      </c>
      <c r="D135" t="str">
        <f>_xlfn.IFNA(VLOOKUP($B135,Atletas!$A:$D,3),"")</f>
        <v/>
      </c>
      <c r="E135" t="str">
        <f>_xlfn.IFNA(VLOOKUP($B135,Atletas!$A:$D,4),"")</f>
        <v/>
      </c>
    </row>
    <row r="136" spans="3:5" x14ac:dyDescent="0.25">
      <c r="C136" t="str">
        <f>_xlfn.IFNA(VLOOKUP($B136,Atletas!$A:$D,2),"")</f>
        <v/>
      </c>
      <c r="D136" t="str">
        <f>_xlfn.IFNA(VLOOKUP($B136,Atletas!$A:$D,3),"")</f>
        <v/>
      </c>
      <c r="E136" t="str">
        <f>_xlfn.IFNA(VLOOKUP($B136,Atletas!$A:$D,4),"")</f>
        <v/>
      </c>
    </row>
    <row r="137" spans="3:5" x14ac:dyDescent="0.25">
      <c r="C137" t="str">
        <f>_xlfn.IFNA(VLOOKUP($B137,Atletas!$A:$D,2),"")</f>
        <v/>
      </c>
      <c r="D137" t="str">
        <f>_xlfn.IFNA(VLOOKUP($B137,Atletas!$A:$D,3),"")</f>
        <v/>
      </c>
      <c r="E137" t="str">
        <f>_xlfn.IFNA(VLOOKUP($B137,Atletas!$A:$D,4),"")</f>
        <v/>
      </c>
    </row>
    <row r="138" spans="3:5" x14ac:dyDescent="0.25">
      <c r="C138" t="str">
        <f>_xlfn.IFNA(VLOOKUP($B138,Atletas!$A:$D,2),"")</f>
        <v/>
      </c>
      <c r="D138" t="str">
        <f>_xlfn.IFNA(VLOOKUP($B138,Atletas!$A:$D,3),"")</f>
        <v/>
      </c>
      <c r="E138" t="str">
        <f>_xlfn.IFNA(VLOOKUP($B138,Atletas!$A:$D,4),"")</f>
        <v/>
      </c>
    </row>
    <row r="139" spans="3:5" x14ac:dyDescent="0.25">
      <c r="C139" t="str">
        <f>_xlfn.IFNA(VLOOKUP($B139,Atletas!$A:$D,2),"")</f>
        <v/>
      </c>
      <c r="D139" t="str">
        <f>_xlfn.IFNA(VLOOKUP($B139,Atletas!$A:$D,3),"")</f>
        <v/>
      </c>
      <c r="E139" t="str">
        <f>_xlfn.IFNA(VLOOKUP($B139,Atletas!$A:$D,4),"")</f>
        <v/>
      </c>
    </row>
    <row r="140" spans="3:5" x14ac:dyDescent="0.25">
      <c r="C140" t="str">
        <f>_xlfn.IFNA(VLOOKUP($B140,Atletas!$A:$D,2),"")</f>
        <v/>
      </c>
      <c r="D140" t="str">
        <f>_xlfn.IFNA(VLOOKUP($B140,Atletas!$A:$D,3),"")</f>
        <v/>
      </c>
      <c r="E140" t="str">
        <f>_xlfn.IFNA(VLOOKUP($B140,Atletas!$A:$D,4),"")</f>
        <v/>
      </c>
    </row>
  </sheetData>
  <dataValidations count="3">
    <dataValidation type="custom" allowBlank="1" showInputMessage="1" showErrorMessage="1" errorTitle="Atleta já registado" error="Este atleta já foi registado!" sqref="B1:B1048576" xr:uid="{9920CEB7-00A3-4921-819E-8B3AF0591390}">
      <formula1>COUNTIF(B:B,B1)=1</formula1>
    </dataValidation>
    <dataValidation type="custom" allowBlank="1" showInputMessage="1" showErrorMessage="1" sqref="E1 E3:E1048576" xr:uid="{734B5647-9E96-4F6A-AB9F-19A0C2C8869B}">
      <formula1>IF(E2="Benjamin-F",1)</formula1>
    </dataValidation>
    <dataValidation type="custom" allowBlank="1" showInputMessage="1" showErrorMessage="1" sqref="E2" xr:uid="{48E0BCC8-007F-4CF8-BB87-E661B959950E}">
      <formula1>IF(E3="Benjamin F",1)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SalvarSheetComoPDF">
                <anchor moveWithCells="1" sizeWithCells="1">
                  <from>
                    <xdr:col>7</xdr:col>
                    <xdr:colOff>0</xdr:colOff>
                    <xdr:row>0</xdr:row>
                    <xdr:rowOff>95250</xdr:rowOff>
                  </from>
                  <to>
                    <xdr:col>10</xdr:col>
                    <xdr:colOff>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Atletas</vt:lpstr>
      <vt:lpstr>Resultados</vt:lpstr>
      <vt:lpstr>Escaloes</vt:lpstr>
      <vt:lpstr>Escolas</vt:lpstr>
      <vt:lpstr>Benjamin F</vt:lpstr>
      <vt:lpstr>Benjamin M</vt:lpstr>
      <vt:lpstr>Juv 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peralta</dc:creator>
  <cp:lastModifiedBy>pedro peralta</cp:lastModifiedBy>
  <cp:lastPrinted>2024-12-22T14:00:02Z</cp:lastPrinted>
  <dcterms:created xsi:type="dcterms:W3CDTF">2024-12-16T23:06:17Z</dcterms:created>
  <dcterms:modified xsi:type="dcterms:W3CDTF">2024-12-22T16:29:38Z</dcterms:modified>
</cp:coreProperties>
</file>